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G PC\Desktop\"/>
    </mc:Choice>
  </mc:AlternateContent>
  <bookViews>
    <workbookView xWindow="0" yWindow="0" windowWidth="28800" windowHeight="11730"/>
  </bookViews>
  <sheets>
    <sheet name="19-AUG-26-DEP 1800H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1" i="1" l="1"/>
  <c r="U11" i="1"/>
  <c r="V11" i="1" s="1"/>
  <c r="W11" i="1"/>
  <c r="AI11" i="1" s="1"/>
  <c r="Z11" i="1"/>
  <c r="AV11" i="1"/>
  <c r="BA11" i="1"/>
  <c r="T12" i="1"/>
  <c r="U12" i="1" s="1"/>
  <c r="V12" i="1" s="1"/>
  <c r="Z12" i="1"/>
  <c r="AV13" i="1"/>
  <c r="BA13" i="1"/>
  <c r="T14" i="1"/>
  <c r="U14" i="1" s="1"/>
  <c r="V14" i="1" s="1"/>
  <c r="Z14" i="1"/>
  <c r="AV14" i="1"/>
  <c r="BA14" i="1"/>
  <c r="T15" i="1"/>
  <c r="U15" i="1" s="1"/>
  <c r="V15" i="1" s="1"/>
  <c r="Z15" i="1"/>
  <c r="AV15" i="1"/>
  <c r="T16" i="1"/>
  <c r="U16" i="1" s="1"/>
  <c r="V16" i="1" s="1"/>
  <c r="Z16" i="1"/>
  <c r="AV16" i="1"/>
  <c r="AV17" i="1"/>
  <c r="AL18" i="1"/>
  <c r="T22" i="1"/>
  <c r="U22" i="1"/>
  <c r="V22" i="1" s="1"/>
  <c r="W22" i="1"/>
  <c r="AI22" i="1" s="1"/>
  <c r="Z22" i="1"/>
  <c r="BA22" i="1" s="1"/>
  <c r="AV22" i="1"/>
  <c r="BB22" i="1"/>
  <c r="BC22" i="1" s="1"/>
  <c r="T23" i="1"/>
  <c r="U23" i="1" s="1"/>
  <c r="V23" i="1" s="1"/>
  <c r="Z23" i="1"/>
  <c r="AV23" i="1"/>
  <c r="BB23" i="1"/>
  <c r="AV25" i="1"/>
  <c r="BA25" i="1"/>
  <c r="BB25" i="1"/>
  <c r="BC25" i="1" s="1"/>
  <c r="AL26" i="1"/>
  <c r="BC23" i="1" l="1"/>
  <c r="BA23" i="1"/>
  <c r="W12" i="1"/>
  <c r="AI12" i="1" s="1"/>
  <c r="W15" i="1"/>
  <c r="AI15" i="1" s="1"/>
  <c r="W14" i="1"/>
  <c r="AI14" i="1" s="1"/>
  <c r="W23" i="1"/>
  <c r="AI23" i="1" s="1"/>
  <c r="AI26" i="1" s="1"/>
  <c r="W16" i="1"/>
  <c r="AI16" i="1" s="1"/>
  <c r="AI18" i="1" s="1"/>
</calcChain>
</file>

<file path=xl/sharedStrings.xml><?xml version="1.0" encoding="utf-8"?>
<sst xmlns="http://schemas.openxmlformats.org/spreadsheetml/2006/main" count="68" uniqueCount="52">
  <si>
    <t>Chief Engr. Escovilla, Alvin Ross M.</t>
  </si>
  <si>
    <t>Prepared by;</t>
  </si>
  <si>
    <t>LSMGO</t>
  </si>
  <si>
    <t>gauge</t>
  </si>
  <si>
    <t>DO SERVICE TK</t>
  </si>
  <si>
    <t xml:space="preserve">NO.1 DO TK </t>
  </si>
  <si>
    <t>90 IN MT</t>
  </si>
  <si>
    <t>90 PERCENT</t>
  </si>
  <si>
    <t>90 % IN M3</t>
  </si>
  <si>
    <t>85% capcity in MT at sp 0..8445</t>
  </si>
  <si>
    <t>CAPACITY @100 %</t>
  </si>
  <si>
    <t>LSMGO  WEIGHT    IN  (MT)</t>
  </si>
  <si>
    <t>GRADE</t>
  </si>
  <si>
    <t>SULPHUR    %</t>
  </si>
  <si>
    <t>W.C.F= DENSITY  0.0011</t>
  </si>
  <si>
    <t>VOLUME @ 15 C  IN M3</t>
  </si>
  <si>
    <t>V.C.F. TABLE (54B)</t>
  </si>
  <si>
    <t>DENSITY @ 15 C</t>
  </si>
  <si>
    <t>TEMP</t>
  </si>
  <si>
    <t>VOLUME IN M3</t>
  </si>
  <si>
    <t>SOUNDINGS</t>
  </si>
  <si>
    <t>TANKS</t>
  </si>
  <si>
    <t>VLSFO</t>
  </si>
  <si>
    <t xml:space="preserve">GAUGE </t>
  </si>
  <si>
    <t>FO OVERFLOW TK</t>
  </si>
  <si>
    <t>in use</t>
  </si>
  <si>
    <t xml:space="preserve">FO SERVICE TK </t>
  </si>
  <si>
    <t>FO SETTLING TK</t>
  </si>
  <si>
    <t>NO.1. FO TK (S)</t>
  </si>
  <si>
    <t>NO.1. FO TK (P)</t>
  </si>
  <si>
    <t>85% capcity in MT at sp 0.9884</t>
  </si>
  <si>
    <t>CAPACITY @100%</t>
  </si>
  <si>
    <t xml:space="preserve">FO WEIGHT IN (MT) </t>
  </si>
  <si>
    <t>ULLAGE/                 SOUNDING</t>
  </si>
  <si>
    <t>1800H</t>
  </si>
  <si>
    <t>Date/ TIME :</t>
  </si>
  <si>
    <t>VLSFO :</t>
  </si>
  <si>
    <t>Trim</t>
  </si>
  <si>
    <t>Post-Bunker</t>
  </si>
  <si>
    <t>Pre-Bunker</t>
  </si>
  <si>
    <t>Departure</t>
  </si>
  <si>
    <t>X</t>
  </si>
  <si>
    <t>Arrival</t>
  </si>
  <si>
    <t>At Sea</t>
  </si>
  <si>
    <t>JUAYMAH</t>
  </si>
  <si>
    <t>Port Of :</t>
  </si>
  <si>
    <t>MT SAMOA PROSPERITY</t>
  </si>
  <si>
    <t>Vessel:</t>
  </si>
  <si>
    <t>BUNKER REPORT</t>
  </si>
  <si>
    <t>Voy No:</t>
  </si>
  <si>
    <t>EXECUTIVE SHIP MANAGEMENT</t>
  </si>
  <si>
    <t>TOTAL LUBE OIL -  114833  /     TOTAL FRESH WATER- 438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</si>
</sst>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[$-409]d/mmm/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Times New Roman"/>
      <family val="1"/>
    </font>
    <font>
      <sz val="9"/>
      <name val="Arial"/>
      <family val="2"/>
      <charset val="161"/>
    </font>
    <font>
      <b/>
      <sz val="8"/>
      <name val="Arial"/>
      <family val="2"/>
    </font>
    <font>
      <b/>
      <sz val="12"/>
      <name val="Times New Roman"/>
      <family val="1"/>
    </font>
    <font>
      <sz val="8"/>
      <name val="Arial"/>
      <family val="2"/>
      <charset val="161"/>
    </font>
    <font>
      <sz val="12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u/>
      <sz val="11"/>
      <color indexed="8"/>
      <name val="Arial"/>
      <family val="2"/>
    </font>
    <font>
      <b/>
      <sz val="11"/>
      <color indexed="8"/>
      <name val="Calibri"/>
      <family val="2"/>
    </font>
    <font>
      <b/>
      <u/>
      <sz val="12"/>
      <name val="Arial"/>
      <family val="2"/>
    </font>
    <font>
      <b/>
      <u/>
      <sz val="22"/>
      <name val="Algerian"/>
      <family val="5"/>
    </font>
    <font>
      <sz val="11"/>
      <color indexed="8"/>
      <name val="Arial"/>
      <family val="2"/>
    </font>
    <font>
      <u/>
      <sz val="16"/>
      <name val="Algerian"/>
      <family val="5"/>
    </font>
    <font>
      <b/>
      <sz val="14"/>
      <name val="Algerian"/>
      <family val="5"/>
    </font>
    <font>
      <sz val="16"/>
      <name val="Arial"/>
      <family val="2"/>
    </font>
    <font>
      <b/>
      <sz val="16"/>
      <name val="Berlin Sans FB Demi"/>
      <family val="2"/>
    </font>
    <font>
      <b/>
      <sz val="1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2" fillId="2" borderId="0" xfId="0" applyFont="1" applyFill="1"/>
    <xf numFmtId="2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/>
    <xf numFmtId="0" fontId="0" fillId="3" borderId="0" xfId="0" applyFill="1"/>
    <xf numFmtId="0" fontId="0" fillId="2" borderId="1" xfId="0" applyFill="1" applyBorder="1"/>
    <xf numFmtId="2" fontId="0" fillId="2" borderId="1" xfId="0" applyNumberFormat="1" applyFill="1" applyBorder="1"/>
    <xf numFmtId="0" fontId="0" fillId="2" borderId="0" xfId="0" applyFill="1" applyBorder="1"/>
    <xf numFmtId="0" fontId="3" fillId="2" borderId="0" xfId="0" applyFont="1" applyFill="1" applyAlignment="1">
      <alignment horizontal="center"/>
    </xf>
    <xf numFmtId="0" fontId="4" fillId="2" borderId="0" xfId="0" applyFont="1" applyFill="1" applyBorder="1" applyAlignment="1">
      <alignment horizontal="center" wrapText="1"/>
    </xf>
    <xf numFmtId="0" fontId="5" fillId="2" borderId="0" xfId="0" applyFont="1" applyFill="1" applyBorder="1" applyAlignment="1"/>
    <xf numFmtId="0" fontId="0" fillId="3" borderId="0" xfId="0" applyFill="1" applyBorder="1"/>
    <xf numFmtId="2" fontId="0" fillId="3" borderId="0" xfId="0" applyNumberFormat="1" applyFill="1" applyBorder="1" applyAlignment="1">
      <alignment horizontal="center"/>
    </xf>
    <xf numFmtId="0" fontId="2" fillId="3" borderId="0" xfId="0" applyFont="1" applyFill="1" applyBorder="1"/>
    <xf numFmtId="0" fontId="0" fillId="3" borderId="0" xfId="0" applyFill="1" applyBorder="1" applyAlignment="1">
      <alignment horizontal="center" wrapText="1"/>
    </xf>
    <xf numFmtId="2" fontId="0" fillId="3" borderId="0" xfId="0" applyNumberFormat="1" applyFill="1" applyBorder="1" applyAlignment="1">
      <alignment horizontal="center" wrapText="1"/>
    </xf>
    <xf numFmtId="0" fontId="0" fillId="3" borderId="0" xfId="0" applyFill="1" applyBorder="1" applyAlignment="1">
      <alignment horizontal="center" vertical="center" wrapText="1"/>
    </xf>
    <xf numFmtId="2" fontId="0" fillId="3" borderId="0" xfId="0" applyNumberFormat="1" applyFill="1" applyBorder="1" applyAlignment="1">
      <alignment horizontal="center" vertical="center" wrapText="1"/>
    </xf>
    <xf numFmtId="2" fontId="0" fillId="3" borderId="0" xfId="0" applyNumberFormat="1" applyFill="1"/>
    <xf numFmtId="0" fontId="0" fillId="3" borderId="0" xfId="0" applyFill="1" applyBorder="1" applyAlignment="1">
      <alignment horizontal="center"/>
    </xf>
    <xf numFmtId="0" fontId="0" fillId="3" borderId="0" xfId="0" applyFill="1" applyAlignment="1"/>
    <xf numFmtId="2" fontId="0" fillId="2" borderId="0" xfId="0" applyNumberFormat="1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ill="1" applyBorder="1" applyAlignment="1">
      <alignment horizontal="center" wrapText="1"/>
    </xf>
    <xf numFmtId="2" fontId="0" fillId="2" borderId="0" xfId="0" applyNumberFormat="1" applyFill="1" applyBorder="1" applyAlignment="1">
      <alignment horizont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2" fontId="0" fillId="4" borderId="2" xfId="0" applyNumberFormat="1" applyFill="1" applyBorder="1" applyAlignment="1">
      <alignment horizontal="center" vertical="center" wrapText="1"/>
    </xf>
    <xf numFmtId="2" fontId="0" fillId="4" borderId="3" xfId="0" applyNumberFormat="1" applyFill="1" applyBorder="1" applyAlignment="1">
      <alignment horizontal="center" vertical="center" wrapText="1"/>
    </xf>
    <xf numFmtId="2" fontId="0" fillId="4" borderId="4" xfId="0" applyNumberForma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7" xfId="0" applyFill="1" applyBorder="1"/>
    <xf numFmtId="0" fontId="0" fillId="2" borderId="7" xfId="0" applyFill="1" applyBorder="1" applyAlignment="1">
      <alignment horizontal="center" vertical="center" wrapText="1"/>
    </xf>
    <xf numFmtId="2" fontId="0" fillId="2" borderId="8" xfId="0" applyNumberForma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64" fontId="0" fillId="5" borderId="10" xfId="0" applyNumberFormat="1" applyFill="1" applyBorder="1" applyAlignment="1">
      <alignment horizontal="center" vertical="center" wrapText="1"/>
    </xf>
    <xf numFmtId="164" fontId="0" fillId="5" borderId="11" xfId="0" applyNumberForma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2" fontId="0" fillId="5" borderId="15" xfId="0" applyNumberFormat="1" applyFill="1" applyBorder="1" applyAlignment="1">
      <alignment horizontal="center" vertical="center" wrapText="1"/>
    </xf>
    <xf numFmtId="2" fontId="0" fillId="5" borderId="13" xfId="0" applyNumberForma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164" fontId="0" fillId="3" borderId="13" xfId="0" applyNumberForma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Border="1" applyAlignment="1">
      <alignment horizontal="center" vertical="center" wrapText="1"/>
    </xf>
    <xf numFmtId="164" fontId="0" fillId="3" borderId="0" xfId="0" applyNumberForma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2" fontId="0" fillId="3" borderId="19" xfId="0" applyNumberFormat="1" applyFill="1" applyBorder="1" applyAlignment="1">
      <alignment horizontal="center" vertical="center" wrapText="1"/>
    </xf>
    <xf numFmtId="2" fontId="0" fillId="3" borderId="5" xfId="0" applyNumberFormat="1" applyFill="1" applyBorder="1" applyAlignment="1">
      <alignment horizontal="center" vertical="center" wrapText="1"/>
    </xf>
    <xf numFmtId="164" fontId="0" fillId="3" borderId="5" xfId="0" applyNumberForma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2" fontId="8" fillId="2" borderId="0" xfId="0" applyNumberFormat="1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2" fontId="0" fillId="4" borderId="19" xfId="0" applyNumberFormat="1" applyFill="1" applyBorder="1" applyAlignment="1">
      <alignment horizontal="center" vertical="center" wrapText="1"/>
    </xf>
    <xf numFmtId="2" fontId="0" fillId="4" borderId="5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2" fontId="0" fillId="2" borderId="20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2" fontId="2" fillId="2" borderId="21" xfId="0" applyNumberFormat="1" applyFont="1" applyFill="1" applyBorder="1" applyAlignment="1">
      <alignment horizont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2" fontId="9" fillId="6" borderId="25" xfId="0" applyNumberFormat="1" applyFont="1" applyFill="1" applyBorder="1" applyAlignment="1">
      <alignment horizontal="center" vertical="center" wrapText="1"/>
    </xf>
    <xf numFmtId="2" fontId="9" fillId="6" borderId="23" xfId="0" applyNumberFormat="1" applyFont="1" applyFill="1" applyBorder="1" applyAlignment="1">
      <alignment horizontal="center" vertical="center" wrapText="1"/>
    </xf>
    <xf numFmtId="2" fontId="9" fillId="6" borderId="24" xfId="0" applyNumberFormat="1" applyFont="1" applyFill="1" applyBorder="1" applyAlignment="1">
      <alignment horizontal="center" vertical="center" wrapText="1"/>
    </xf>
    <xf numFmtId="2" fontId="9" fillId="6" borderId="22" xfId="0" applyNumberFormat="1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wrapText="1"/>
    </xf>
    <xf numFmtId="0" fontId="2" fillId="2" borderId="26" xfId="0" applyFont="1" applyFill="1" applyBorder="1" applyAlignment="1">
      <alignment horizontal="center" wrapText="1"/>
    </xf>
    <xf numFmtId="2" fontId="2" fillId="2" borderId="27" xfId="0" applyNumberFormat="1" applyFont="1" applyFill="1" applyBorder="1" applyAlignment="1">
      <alignment horizontal="center" wrapText="1"/>
    </xf>
    <xf numFmtId="0" fontId="2" fillId="2" borderId="26" xfId="0" applyFont="1" applyFill="1" applyBorder="1" applyAlignment="1">
      <alignment horizont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2" fontId="9" fillId="6" borderId="31" xfId="0" applyNumberFormat="1" applyFont="1" applyFill="1" applyBorder="1" applyAlignment="1">
      <alignment horizontal="center" vertical="center" wrapText="1"/>
    </xf>
    <xf numFmtId="2" fontId="9" fillId="6" borderId="29" xfId="0" applyNumberFormat="1" applyFont="1" applyFill="1" applyBorder="1" applyAlignment="1">
      <alignment horizontal="center" vertical="center" wrapText="1"/>
    </xf>
    <xf numFmtId="2" fontId="9" fillId="6" borderId="30" xfId="0" applyNumberFormat="1" applyFont="1" applyFill="1" applyBorder="1" applyAlignment="1">
      <alignment horizontal="center" vertical="center" wrapText="1"/>
    </xf>
    <xf numFmtId="2" fontId="9" fillId="6" borderId="28" xfId="0" applyNumberFormat="1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2" fontId="0" fillId="2" borderId="0" xfId="0" applyNumberForma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0" fillId="7" borderId="32" xfId="0" applyNumberFormat="1" applyFill="1" applyBorder="1" applyAlignment="1">
      <alignment horizontal="center" vertical="center" wrapText="1"/>
    </xf>
    <xf numFmtId="164" fontId="0" fillId="7" borderId="33" xfId="0" applyNumberFormat="1" applyFill="1" applyBorder="1" applyAlignment="1">
      <alignment horizontal="center" vertical="center" wrapText="1"/>
    </xf>
    <xf numFmtId="164" fontId="0" fillId="7" borderId="34" xfId="0" applyNumberFormat="1" applyFill="1" applyBorder="1" applyAlignment="1">
      <alignment horizontal="center" vertical="center" wrapText="1"/>
    </xf>
    <xf numFmtId="2" fontId="0" fillId="7" borderId="35" xfId="0" applyNumberFormat="1" applyFill="1" applyBorder="1" applyAlignment="1">
      <alignment horizontal="center" vertical="center" wrapText="1"/>
    </xf>
    <xf numFmtId="2" fontId="0" fillId="7" borderId="33" xfId="0" applyNumberFormat="1" applyFill="1" applyBorder="1" applyAlignment="1">
      <alignment horizontal="center" vertical="center" wrapText="1"/>
    </xf>
    <xf numFmtId="2" fontId="0" fillId="7" borderId="34" xfId="0" applyNumberFormat="1" applyFill="1" applyBorder="1" applyAlignment="1">
      <alignment horizontal="center" vertical="center" wrapText="1"/>
    </xf>
    <xf numFmtId="2" fontId="0" fillId="2" borderId="5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2" fontId="0" fillId="2" borderId="36" xfId="0" applyNumberFormat="1" applyFill="1" applyBorder="1" applyAlignment="1">
      <alignment horizontal="center" vertical="center" wrapText="1"/>
    </xf>
    <xf numFmtId="2" fontId="11" fillId="2" borderId="0" xfId="0" applyNumberFormat="1" applyFont="1" applyFill="1" applyBorder="1" applyAlignment="1">
      <alignment horizontal="center" vertical="center" wrapText="1"/>
    </xf>
    <xf numFmtId="2" fontId="0" fillId="7" borderId="5" xfId="0" applyNumberForma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5" fontId="3" fillId="3" borderId="5" xfId="0" applyNumberFormat="1" applyFont="1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4" fontId="3" fillId="2" borderId="5" xfId="1" applyNumberFormat="1" applyFont="1" applyFill="1" applyBorder="1" applyAlignment="1">
      <alignment horizontal="center" vertical="center" wrapText="1"/>
    </xf>
    <xf numFmtId="1" fontId="0" fillId="3" borderId="5" xfId="0" applyNumberForma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2" fontId="0" fillId="7" borderId="37" xfId="0" applyNumberFormat="1" applyFill="1" applyBorder="1" applyAlignment="1">
      <alignment horizontal="center" vertical="center" wrapText="1"/>
    </xf>
    <xf numFmtId="2" fontId="0" fillId="7" borderId="16" xfId="0" applyNumberFormat="1" applyFill="1" applyBorder="1" applyAlignment="1">
      <alignment horizontal="center" vertical="center" wrapText="1"/>
    </xf>
    <xf numFmtId="2" fontId="0" fillId="7" borderId="38" xfId="0" applyNumberFormat="1" applyFill="1" applyBorder="1" applyAlignment="1">
      <alignment horizontal="center" vertical="center" wrapText="1"/>
    </xf>
    <xf numFmtId="2" fontId="0" fillId="7" borderId="39" xfId="0" applyNumberForma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65" fontId="3" fillId="3" borderId="16" xfId="0" applyNumberFormat="1" applyFont="1" applyFill="1" applyBorder="1" applyAlignment="1" applyProtection="1">
      <alignment horizontal="center" vertical="center"/>
      <protection locked="0"/>
    </xf>
    <xf numFmtId="0" fontId="0" fillId="7" borderId="16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4" fontId="3" fillId="2" borderId="16" xfId="1" applyNumberFormat="1" applyFont="1" applyFill="1" applyBorder="1" applyAlignment="1">
      <alignment horizontal="center" vertical="center" wrapText="1"/>
    </xf>
    <xf numFmtId="1" fontId="0" fillId="3" borderId="16" xfId="0" applyNumberForma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center" vertical="center" wrapText="1"/>
    </xf>
    <xf numFmtId="2" fontId="0" fillId="7" borderId="17" xfId="0" applyNumberFormat="1" applyFill="1" applyBorder="1" applyAlignment="1">
      <alignment horizontal="center" vertical="center" wrapText="1"/>
    </xf>
    <xf numFmtId="2" fontId="0" fillId="7" borderId="18" xfId="0" applyNumberFormat="1" applyFill="1" applyBorder="1" applyAlignment="1">
      <alignment horizontal="center" vertical="center" wrapText="1"/>
    </xf>
    <xf numFmtId="2" fontId="0" fillId="7" borderId="19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4" fontId="0" fillId="2" borderId="5" xfId="0" applyNumberForma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4" fontId="0" fillId="2" borderId="5" xfId="0" applyNumberFormat="1" applyFill="1" applyBorder="1" applyAlignment="1" applyProtection="1">
      <alignment horizontal="center" vertical="center"/>
      <protection hidden="1"/>
    </xf>
    <xf numFmtId="4" fontId="3" fillId="2" borderId="5" xfId="0" applyNumberFormat="1" applyFont="1" applyFill="1" applyBorder="1" applyAlignment="1" applyProtection="1">
      <alignment horizontal="center" vertical="center"/>
      <protection hidden="1"/>
    </xf>
    <xf numFmtId="2" fontId="0" fillId="7" borderId="40" xfId="0" applyNumberFormat="1" applyFill="1" applyBorder="1" applyAlignment="1">
      <alignment horizontal="center" vertical="center" wrapText="1"/>
    </xf>
    <xf numFmtId="2" fontId="0" fillId="7" borderId="41" xfId="0" applyNumberFormat="1" applyFill="1" applyBorder="1" applyAlignment="1">
      <alignment horizontal="center" vertical="center" wrapText="1"/>
    </xf>
    <xf numFmtId="2" fontId="0" fillId="7" borderId="42" xfId="0" applyNumberFormat="1" applyFill="1" applyBorder="1" applyAlignment="1">
      <alignment horizontal="center" vertical="center" wrapText="1"/>
    </xf>
    <xf numFmtId="2" fontId="0" fillId="7" borderId="43" xfId="0" applyNumberFormat="1" applyFill="1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165" fontId="3" fillId="3" borderId="41" xfId="0" applyNumberFormat="1" applyFont="1" applyFill="1" applyBorder="1" applyAlignment="1" applyProtection="1">
      <alignment horizontal="center" vertical="center"/>
      <protection locked="0"/>
    </xf>
    <xf numFmtId="0" fontId="0" fillId="7" borderId="41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4" fontId="0" fillId="2" borderId="41" xfId="0" applyNumberFormat="1" applyFill="1" applyBorder="1" applyAlignment="1" applyProtection="1">
      <alignment horizontal="center" vertical="center"/>
      <protection hidden="1"/>
    </xf>
    <xf numFmtId="4" fontId="3" fillId="2" borderId="41" xfId="0" applyNumberFormat="1" applyFont="1" applyFill="1" applyBorder="1" applyAlignment="1" applyProtection="1">
      <alignment horizontal="center" vertical="center"/>
      <protection hidden="1"/>
    </xf>
    <xf numFmtId="165" fontId="0" fillId="3" borderId="41" xfId="0" applyNumberFormat="1" applyFill="1" applyBorder="1" applyAlignment="1">
      <alignment horizontal="center" vertical="center" wrapText="1"/>
    </xf>
    <xf numFmtId="0" fontId="7" fillId="7" borderId="41" xfId="0" applyFont="1" applyFill="1" applyBorder="1" applyAlignment="1">
      <alignment horizontal="center" vertical="center" wrapText="1"/>
    </xf>
    <xf numFmtId="0" fontId="7" fillId="7" borderId="42" xfId="0" applyFont="1" applyFill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wrapText="1"/>
    </xf>
    <xf numFmtId="0" fontId="9" fillId="6" borderId="37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38" xfId="0" applyFont="1" applyFill="1" applyBorder="1" applyAlignment="1">
      <alignment horizontal="center" vertical="center" wrapText="1"/>
    </xf>
    <xf numFmtId="0" fontId="9" fillId="6" borderId="39" xfId="0" applyFont="1" applyFill="1" applyBorder="1" applyAlignment="1">
      <alignment horizontal="center" vertical="center" wrapText="1"/>
    </xf>
    <xf numFmtId="2" fontId="9" fillId="6" borderId="37" xfId="0" applyNumberFormat="1" applyFont="1" applyFill="1" applyBorder="1" applyAlignment="1">
      <alignment horizontal="center" vertical="center" wrapText="1"/>
    </xf>
    <xf numFmtId="2" fontId="9" fillId="6" borderId="16" xfId="0" applyNumberFormat="1" applyFont="1" applyFill="1" applyBorder="1" applyAlignment="1">
      <alignment horizontal="center" vertical="center" wrapText="1"/>
    </xf>
    <xf numFmtId="2" fontId="9" fillId="6" borderId="38" xfId="0" applyNumberFormat="1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41" xfId="0" applyFont="1" applyFill="1" applyBorder="1" applyAlignment="1">
      <alignment horizontal="center" vertical="center" wrapText="1"/>
    </xf>
    <xf numFmtId="0" fontId="9" fillId="6" borderId="42" xfId="0" applyFont="1" applyFill="1" applyBorder="1" applyAlignment="1">
      <alignment horizontal="center" vertical="center" wrapText="1"/>
    </xf>
    <xf numFmtId="0" fontId="9" fillId="6" borderId="43" xfId="0" applyFont="1" applyFill="1" applyBorder="1" applyAlignment="1">
      <alignment horizontal="center" vertical="center" wrapText="1"/>
    </xf>
    <xf numFmtId="2" fontId="9" fillId="6" borderId="40" xfId="0" applyNumberFormat="1" applyFont="1" applyFill="1" applyBorder="1" applyAlignment="1">
      <alignment horizontal="center" vertical="center" wrapText="1"/>
    </xf>
    <xf numFmtId="2" fontId="9" fillId="6" borderId="41" xfId="0" applyNumberFormat="1" applyFont="1" applyFill="1" applyBorder="1" applyAlignment="1">
      <alignment horizontal="center" vertical="center" wrapText="1"/>
    </xf>
    <xf numFmtId="2" fontId="9" fillId="6" borderId="42" xfId="0" applyNumberFormat="1" applyFont="1" applyFill="1" applyBorder="1" applyAlignment="1">
      <alignment horizontal="center" vertical="center" wrapText="1"/>
    </xf>
    <xf numFmtId="0" fontId="10" fillId="6" borderId="40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 applyProtection="1">
      <protection hidden="1"/>
    </xf>
    <xf numFmtId="0" fontId="5" fillId="2" borderId="0" xfId="0" applyFont="1" applyFill="1" applyBorder="1"/>
    <xf numFmtId="0" fontId="0" fillId="2" borderId="44" xfId="0" applyNumberFormat="1" applyFill="1" applyBorder="1" applyAlignment="1">
      <alignment horizontal="center"/>
    </xf>
    <xf numFmtId="0" fontId="0" fillId="2" borderId="45" xfId="0" applyNumberFormat="1" applyFill="1" applyBorder="1" applyAlignment="1">
      <alignment horizontal="center"/>
    </xf>
    <xf numFmtId="0" fontId="3" fillId="2" borderId="45" xfId="0" applyNumberFormat="1" applyFont="1" applyFill="1" applyBorder="1" applyAlignment="1">
      <alignment horizontal="center"/>
    </xf>
    <xf numFmtId="166" fontId="3" fillId="2" borderId="46" xfId="0" applyNumberFormat="1" applyFont="1" applyFill="1" applyBorder="1" applyAlignment="1" applyProtection="1">
      <alignment horizontal="center"/>
      <protection hidden="1"/>
    </xf>
    <xf numFmtId="166" fontId="3" fillId="2" borderId="47" xfId="0" applyNumberFormat="1" applyFont="1" applyFill="1" applyBorder="1" applyAlignment="1" applyProtection="1">
      <alignment horizontal="center"/>
      <protection hidden="1"/>
    </xf>
    <xf numFmtId="0" fontId="13" fillId="2" borderId="0" xfId="0" applyFont="1" applyFill="1" applyBorder="1" applyAlignment="1" applyProtection="1">
      <alignment horizontal="center"/>
      <protection hidden="1"/>
    </xf>
    <xf numFmtId="0" fontId="0" fillId="8" borderId="48" xfId="0" applyFill="1" applyBorder="1" applyAlignment="1">
      <alignment horizontal="center"/>
    </xf>
    <xf numFmtId="0" fontId="0" fillId="8" borderId="47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4" fillId="7" borderId="48" xfId="0" applyFont="1" applyFill="1" applyBorder="1" applyAlignment="1">
      <alignment horizontal="center"/>
    </xf>
    <xf numFmtId="0" fontId="14" fillId="7" borderId="47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164" fontId="5" fillId="2" borderId="48" xfId="0" applyNumberFormat="1" applyFont="1" applyFill="1" applyBorder="1" applyAlignment="1" applyProtection="1">
      <alignment horizontal="center"/>
      <protection hidden="1"/>
    </xf>
    <xf numFmtId="164" fontId="5" fillId="2" borderId="46" xfId="0" applyNumberFormat="1" applyFont="1" applyFill="1" applyBorder="1" applyAlignment="1" applyProtection="1">
      <alignment horizontal="center"/>
      <protection hidden="1"/>
    </xf>
    <xf numFmtId="164" fontId="5" fillId="2" borderId="47" xfId="0" applyNumberFormat="1" applyFont="1" applyFill="1" applyBorder="1" applyAlignment="1" applyProtection="1">
      <alignment horizontal="center"/>
      <protection hidden="1"/>
    </xf>
    <xf numFmtId="0" fontId="15" fillId="2" borderId="0" xfId="0" applyFont="1" applyFill="1" applyBorder="1" applyAlignment="1" applyProtection="1">
      <alignment horizontal="center" vertical="center" wrapText="1"/>
      <protection hidden="1"/>
    </xf>
    <xf numFmtId="0" fontId="16" fillId="2" borderId="36" xfId="0" applyFont="1" applyFill="1" applyBorder="1" applyAlignment="1" applyProtection="1">
      <alignment horizontal="right" wrapText="1"/>
      <protection hidden="1"/>
    </xf>
    <xf numFmtId="0" fontId="17" fillId="2" borderId="0" xfId="0" applyFont="1" applyFill="1" applyBorder="1" applyAlignment="1" applyProtection="1">
      <alignment horizontal="center"/>
      <protection hidden="1"/>
    </xf>
    <xf numFmtId="0" fontId="0" fillId="2" borderId="36" xfId="0" applyFill="1" applyBorder="1" applyAlignment="1" applyProtection="1">
      <alignment horizontal="center"/>
      <protection hidden="1"/>
    </xf>
    <xf numFmtId="0" fontId="13" fillId="2" borderId="36" xfId="0" applyFont="1" applyFill="1" applyBorder="1" applyAlignment="1" applyProtection="1">
      <protection hidden="1"/>
    </xf>
    <xf numFmtId="2" fontId="17" fillId="2" borderId="36" xfId="0" applyNumberFormat="1" applyFont="1" applyFill="1" applyBorder="1" applyAlignment="1" applyProtection="1">
      <protection hidden="1"/>
    </xf>
    <xf numFmtId="0" fontId="17" fillId="2" borderId="36" xfId="0" applyFont="1" applyFill="1" applyBorder="1" applyAlignment="1" applyProtection="1">
      <protection hidden="1"/>
    </xf>
    <xf numFmtId="0" fontId="0" fillId="2" borderId="48" xfId="0" applyFill="1" applyBorder="1" applyAlignment="1" applyProtection="1">
      <alignment horizontal="center" vertical="center"/>
      <protection hidden="1"/>
    </xf>
    <xf numFmtId="0" fontId="0" fillId="2" borderId="46" xfId="0" applyFill="1" applyBorder="1" applyAlignment="1" applyProtection="1">
      <alignment horizontal="center" vertical="center"/>
      <protection hidden="1"/>
    </xf>
    <xf numFmtId="0" fontId="5" fillId="2" borderId="47" xfId="0" applyFont="1" applyFill="1" applyBorder="1" applyAlignment="1" applyProtection="1">
      <alignment horizontal="center" vertical="center"/>
      <protection hidden="1"/>
    </xf>
    <xf numFmtId="0" fontId="13" fillId="2" borderId="49" xfId="0" applyFont="1" applyFill="1" applyBorder="1" applyAlignment="1" applyProtection="1">
      <alignment horizontal="center"/>
      <protection hidden="1"/>
    </xf>
    <xf numFmtId="0" fontId="18" fillId="2" borderId="0" xfId="0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 applyProtection="1">
      <protection hidden="1"/>
    </xf>
    <xf numFmtId="0" fontId="5" fillId="2" borderId="48" xfId="0" applyFont="1" applyFill="1" applyBorder="1" applyAlignment="1" applyProtection="1">
      <alignment horizontal="center" vertical="center"/>
      <protection hidden="1"/>
    </xf>
    <xf numFmtId="0" fontId="5" fillId="2" borderId="46" xfId="0" applyFont="1" applyFill="1" applyBorder="1" applyAlignment="1" applyProtection="1">
      <alignment horizontal="center" vertical="center"/>
      <protection hidden="1"/>
    </xf>
    <xf numFmtId="0" fontId="20" fillId="2" borderId="0" xfId="0" applyFont="1" applyFill="1" applyBorder="1" applyAlignment="1" applyProtection="1">
      <protection hidden="1"/>
    </xf>
    <xf numFmtId="0" fontId="21" fillId="2" borderId="48" xfId="0" applyFont="1" applyFill="1" applyBorder="1" applyAlignment="1" applyProtection="1">
      <alignment horizontal="center" vertical="center"/>
      <protection hidden="1"/>
    </xf>
    <xf numFmtId="0" fontId="21" fillId="2" borderId="46" xfId="0" applyFont="1" applyFill="1" applyBorder="1" applyAlignment="1" applyProtection="1">
      <alignment horizontal="center" vertical="center"/>
      <protection hidden="1"/>
    </xf>
    <xf numFmtId="0" fontId="21" fillId="2" borderId="47" xfId="0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Border="1" applyAlignment="1" applyProtection="1">
      <alignment horizontal="center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0" fontId="24" fillId="2" borderId="0" xfId="0" applyFont="1" applyFill="1" applyBorder="1" applyAlignment="1" applyProtection="1">
      <protection hidden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0</xdr:row>
      <xdr:rowOff>59055</xdr:rowOff>
    </xdr:from>
    <xdr:to>
      <xdr:col>5</xdr:col>
      <xdr:colOff>70485</xdr:colOff>
      <xdr:row>4</xdr:row>
      <xdr:rowOff>9525</xdr:rowOff>
    </xdr:to>
    <xdr:pic>
      <xdr:nvPicPr>
        <xdr:cNvPr id="2" name="Picture 32" descr="Copy of 205flag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59055"/>
          <a:ext cx="838200" cy="712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tabSelected="1" workbookViewId="0">
      <selection activeCell="BP14" sqref="BP14"/>
    </sheetView>
  </sheetViews>
  <sheetFormatPr defaultColWidth="2.7109375" defaultRowHeight="15" x14ac:dyDescent="0.25"/>
  <cols>
    <col min="1" max="3" width="2.7109375" style="1" customWidth="1"/>
    <col min="4" max="4" width="3.42578125" style="1" customWidth="1"/>
    <col min="5" max="5" width="5.5703125" style="1" customWidth="1"/>
    <col min="6" max="9" width="2.7109375" style="1"/>
    <col min="10" max="10" width="3" style="1" customWidth="1"/>
    <col min="11" max="18" width="2.7109375" style="1"/>
    <col min="19" max="19" width="3.5703125" style="1" customWidth="1"/>
    <col min="20" max="22" width="2.7109375" style="1"/>
    <col min="23" max="23" width="2.7109375" style="4"/>
    <col min="24" max="24" width="3" style="4" bestFit="1" customWidth="1"/>
    <col min="25" max="25" width="2.7109375" style="4"/>
    <col min="26" max="26" width="4" style="1" bestFit="1" customWidth="1"/>
    <col min="27" max="27" width="2.7109375" style="1"/>
    <col min="28" max="28" width="3.7109375" style="1" customWidth="1"/>
    <col min="29" max="29" width="2.7109375" style="1" hidden="1" customWidth="1"/>
    <col min="30" max="30" width="0.140625" style="1" hidden="1" customWidth="1"/>
    <col min="31" max="31" width="5.28515625" style="1" hidden="1" customWidth="1"/>
    <col min="32" max="32" width="2.7109375" style="1"/>
    <col min="33" max="33" width="9.85546875" style="1" customWidth="1"/>
    <col min="34" max="34" width="3.5703125" style="1" customWidth="1"/>
    <col min="35" max="35" width="3.5703125" style="4" bestFit="1" customWidth="1"/>
    <col min="36" max="37" width="2.7109375" style="4"/>
    <col min="38" max="39" width="2.7109375" style="1"/>
    <col min="40" max="40" width="3.85546875" style="1" customWidth="1"/>
    <col min="41" max="41" width="2.7109375" style="1"/>
    <col min="42" max="42" width="1.42578125" style="1" customWidth="1"/>
    <col min="43" max="43" width="8.42578125" style="1" customWidth="1"/>
    <col min="44" max="44" width="4.5703125" style="1" customWidth="1"/>
    <col min="45" max="45" width="3.42578125" style="1" customWidth="1"/>
    <col min="46" max="46" width="2.7109375" style="1"/>
    <col min="47" max="47" width="5.42578125" style="3" hidden="1" customWidth="1"/>
    <col min="48" max="48" width="12.28515625" style="2" hidden="1" customWidth="1"/>
    <col min="49" max="49" width="0" style="1" hidden="1" customWidth="1"/>
    <col min="50" max="50" width="3" style="1" hidden="1" customWidth="1"/>
    <col min="51" max="52" width="0" style="1" hidden="1" customWidth="1"/>
    <col min="53" max="53" width="11.5703125" style="1" hidden="1" customWidth="1"/>
    <col min="54" max="54" width="8" style="1" hidden="1" customWidth="1"/>
    <col min="55" max="55" width="9" style="1" hidden="1" customWidth="1"/>
    <col min="56" max="56" width="2.7109375" style="1"/>
    <col min="57" max="57" width="4.85546875" style="1" customWidth="1"/>
  </cols>
  <sheetData>
    <row r="1" spans="1:73" ht="21" thickBot="1" x14ac:dyDescent="0.35">
      <c r="B1" s="221"/>
      <c r="C1" s="230"/>
      <c r="D1" s="230"/>
      <c r="E1" s="221"/>
      <c r="F1" s="230"/>
      <c r="G1" s="230"/>
      <c r="H1" s="229" t="s">
        <v>50</v>
      </c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</row>
    <row r="2" spans="1:73" ht="19.5" customHeight="1" thickTop="1" thickBot="1" x14ac:dyDescent="0.4">
      <c r="B2" s="228"/>
      <c r="C2" s="228"/>
      <c r="E2" s="228"/>
      <c r="F2" s="228"/>
      <c r="G2" s="228"/>
      <c r="H2" s="196" t="s">
        <v>49</v>
      </c>
      <c r="I2" s="196"/>
      <c r="J2" s="196"/>
      <c r="K2" s="196"/>
      <c r="L2" s="227">
        <v>1</v>
      </c>
      <c r="M2" s="226"/>
      <c r="N2" s="226"/>
      <c r="O2" s="225"/>
      <c r="P2" s="224"/>
      <c r="Q2" s="224"/>
      <c r="R2" s="220" t="s">
        <v>48</v>
      </c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196" t="s">
        <v>47</v>
      </c>
      <c r="AJ2" s="196"/>
      <c r="AK2" s="196"/>
      <c r="AL2" s="196"/>
      <c r="AM2" s="219"/>
      <c r="AN2" s="218" t="s">
        <v>46</v>
      </c>
      <c r="AO2" s="223"/>
      <c r="AP2" s="223"/>
      <c r="AQ2" s="223"/>
      <c r="AR2" s="223"/>
      <c r="AS2" s="223"/>
      <c r="AT2" s="222"/>
    </row>
    <row r="3" spans="1:73" ht="10.5" customHeight="1" thickTop="1" x14ac:dyDescent="0.25">
      <c r="B3" s="221"/>
      <c r="C3" s="221"/>
      <c r="D3" s="221"/>
      <c r="E3" s="221"/>
      <c r="F3" s="221"/>
      <c r="G3" s="221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</row>
    <row r="4" spans="1:73" ht="9.75" customHeight="1" thickBot="1" x14ac:dyDescent="0.3"/>
    <row r="5" spans="1:73" ht="17.25" customHeight="1" thickTop="1" thickBot="1" x14ac:dyDescent="0.3">
      <c r="A5" s="196" t="s">
        <v>45</v>
      </c>
      <c r="B5" s="196"/>
      <c r="C5" s="196"/>
      <c r="D5" s="219"/>
      <c r="E5" s="218" t="s">
        <v>44</v>
      </c>
      <c r="F5" s="217"/>
      <c r="G5" s="217"/>
      <c r="H5" s="217"/>
      <c r="I5" s="217"/>
      <c r="J5" s="217"/>
      <c r="K5" s="217"/>
      <c r="L5" s="217"/>
      <c r="M5" s="217"/>
      <c r="N5" s="217"/>
      <c r="O5" s="216"/>
      <c r="Q5" s="215"/>
      <c r="R5" s="211" t="s">
        <v>43</v>
      </c>
      <c r="S5" s="211"/>
      <c r="T5" s="211"/>
      <c r="U5" s="211"/>
      <c r="W5" s="214"/>
      <c r="X5" s="211" t="s">
        <v>42</v>
      </c>
      <c r="Y5" s="211"/>
      <c r="Z5" s="211"/>
      <c r="AA5" s="211"/>
      <c r="AB5" s="213" t="s">
        <v>41</v>
      </c>
      <c r="AC5" s="209" t="s">
        <v>40</v>
      </c>
      <c r="AD5" s="209"/>
      <c r="AE5" s="209"/>
      <c r="AF5" s="209"/>
      <c r="AG5" s="209"/>
      <c r="AH5" s="212"/>
      <c r="AI5" s="211" t="s">
        <v>39</v>
      </c>
      <c r="AJ5" s="211"/>
      <c r="AK5" s="211"/>
      <c r="AL5" s="211"/>
      <c r="AM5" s="211"/>
      <c r="AN5" s="210"/>
      <c r="AO5" s="209" t="s">
        <v>38</v>
      </c>
      <c r="AP5" s="209"/>
      <c r="AQ5" s="209"/>
      <c r="AR5" s="209"/>
      <c r="AS5" s="209"/>
    </row>
    <row r="6" spans="1:73" ht="12.75" customHeight="1" thickTop="1" thickBot="1" x14ac:dyDescent="0.3"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</row>
    <row r="7" spans="1:73" ht="16.5" customHeight="1" thickTop="1" thickBot="1" x14ac:dyDescent="0.3">
      <c r="A7" s="196" t="s">
        <v>37</v>
      </c>
      <c r="B7" s="196"/>
      <c r="C7" s="196"/>
      <c r="D7" s="196"/>
      <c r="E7" s="208">
        <v>0</v>
      </c>
      <c r="F7" s="207"/>
      <c r="G7" s="206"/>
      <c r="I7" s="205" t="s">
        <v>36</v>
      </c>
      <c r="J7" s="205"/>
      <c r="K7" s="204"/>
      <c r="L7" s="203"/>
      <c r="M7" s="202"/>
      <c r="O7" s="201"/>
      <c r="P7" s="201"/>
      <c r="Q7" s="201"/>
      <c r="R7" s="200"/>
      <c r="S7" s="200"/>
      <c r="V7" s="199" t="s">
        <v>2</v>
      </c>
      <c r="W7" s="199"/>
      <c r="X7" s="199"/>
      <c r="Y7" s="198"/>
      <c r="Z7" s="197"/>
      <c r="AF7" s="196" t="s">
        <v>35</v>
      </c>
      <c r="AG7" s="196"/>
      <c r="AH7" s="196"/>
      <c r="AI7" s="196"/>
      <c r="AJ7" s="196"/>
      <c r="AK7" s="195">
        <v>46253</v>
      </c>
      <c r="AL7" s="194"/>
      <c r="AM7" s="194"/>
      <c r="AN7" s="194"/>
      <c r="AO7" s="194"/>
      <c r="AP7" s="194"/>
      <c r="AQ7" s="194"/>
      <c r="AR7" s="193" t="s">
        <v>34</v>
      </c>
      <c r="AS7" s="192"/>
      <c r="AT7" s="191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</row>
    <row r="8" spans="1:73" ht="17.25" thickTop="1" thickBot="1" x14ac:dyDescent="0.3">
      <c r="B8" s="190"/>
      <c r="C8" s="14"/>
      <c r="D8" s="14"/>
      <c r="E8" s="14"/>
      <c r="O8" s="189"/>
      <c r="AR8" s="11"/>
      <c r="AS8" s="11"/>
      <c r="AT8" s="11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</row>
    <row r="9" spans="1:73" s="60" customFormat="1" ht="15.75" customHeight="1" thickTop="1" thickBot="1" x14ac:dyDescent="0.25">
      <c r="A9" s="188" t="s">
        <v>21</v>
      </c>
      <c r="B9" s="187"/>
      <c r="C9" s="187"/>
      <c r="D9" s="187"/>
      <c r="E9" s="186"/>
      <c r="F9" s="181" t="s">
        <v>33</v>
      </c>
      <c r="G9" s="180"/>
      <c r="H9" s="180"/>
      <c r="I9" s="179"/>
      <c r="J9" s="181" t="s">
        <v>19</v>
      </c>
      <c r="K9" s="180"/>
      <c r="L9" s="180"/>
      <c r="M9" s="179"/>
      <c r="N9" s="181" t="s">
        <v>18</v>
      </c>
      <c r="O9" s="180"/>
      <c r="P9" s="179"/>
      <c r="Q9" s="181" t="s">
        <v>17</v>
      </c>
      <c r="R9" s="180"/>
      <c r="S9" s="179"/>
      <c r="T9" s="181" t="s">
        <v>16</v>
      </c>
      <c r="U9" s="180"/>
      <c r="V9" s="179"/>
      <c r="W9" s="185" t="s">
        <v>15</v>
      </c>
      <c r="X9" s="184"/>
      <c r="Y9" s="183"/>
      <c r="Z9" s="181" t="s">
        <v>14</v>
      </c>
      <c r="AA9" s="180"/>
      <c r="AB9" s="179"/>
      <c r="AC9" s="181"/>
      <c r="AD9" s="180"/>
      <c r="AE9" s="179"/>
      <c r="AF9" s="181" t="s">
        <v>12</v>
      </c>
      <c r="AG9" s="180"/>
      <c r="AH9" s="179"/>
      <c r="AI9" s="181" t="s">
        <v>32</v>
      </c>
      <c r="AJ9" s="180"/>
      <c r="AK9" s="182"/>
      <c r="AL9" s="181" t="s">
        <v>31</v>
      </c>
      <c r="AM9" s="180"/>
      <c r="AN9" s="179"/>
      <c r="AO9" s="85"/>
      <c r="AP9" s="85"/>
      <c r="AQ9" s="85"/>
      <c r="AR9" s="85"/>
      <c r="AS9" s="85"/>
      <c r="AT9" s="85"/>
      <c r="AU9" s="3"/>
      <c r="AV9" s="168" t="s">
        <v>30</v>
      </c>
      <c r="AW9" s="3"/>
      <c r="AX9" s="3"/>
      <c r="AY9" s="3"/>
      <c r="AZ9" s="3"/>
      <c r="BA9" s="3"/>
      <c r="BB9" s="3"/>
      <c r="BC9" s="3"/>
      <c r="BD9" s="3"/>
      <c r="BE9" s="3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</row>
    <row r="10" spans="1:73" s="60" customFormat="1" ht="15" customHeight="1" thickTop="1" thickBot="1" x14ac:dyDescent="0.25">
      <c r="A10" s="178"/>
      <c r="B10" s="177"/>
      <c r="C10" s="177"/>
      <c r="D10" s="177"/>
      <c r="E10" s="176"/>
      <c r="F10" s="171"/>
      <c r="G10" s="170"/>
      <c r="H10" s="170"/>
      <c r="I10" s="169"/>
      <c r="J10" s="171"/>
      <c r="K10" s="170"/>
      <c r="L10" s="170"/>
      <c r="M10" s="169"/>
      <c r="N10" s="171"/>
      <c r="O10" s="170"/>
      <c r="P10" s="169"/>
      <c r="Q10" s="171"/>
      <c r="R10" s="170"/>
      <c r="S10" s="169"/>
      <c r="T10" s="171"/>
      <c r="U10" s="170"/>
      <c r="V10" s="169"/>
      <c r="W10" s="175"/>
      <c r="X10" s="174"/>
      <c r="Y10" s="173"/>
      <c r="Z10" s="171"/>
      <c r="AA10" s="170"/>
      <c r="AB10" s="169"/>
      <c r="AC10" s="171"/>
      <c r="AD10" s="170"/>
      <c r="AE10" s="169"/>
      <c r="AF10" s="171"/>
      <c r="AG10" s="170"/>
      <c r="AH10" s="169"/>
      <c r="AI10" s="171"/>
      <c r="AJ10" s="170"/>
      <c r="AK10" s="172"/>
      <c r="AL10" s="171"/>
      <c r="AM10" s="170"/>
      <c r="AN10" s="169"/>
      <c r="AO10" s="85"/>
      <c r="AP10" s="85"/>
      <c r="AQ10" s="85"/>
      <c r="AR10" s="85"/>
      <c r="AS10" s="85"/>
      <c r="AT10" s="85"/>
      <c r="AU10" s="3"/>
      <c r="AV10" s="168"/>
      <c r="AW10" s="3"/>
      <c r="AX10" s="3"/>
      <c r="AY10" s="3"/>
      <c r="AZ10" s="3"/>
      <c r="BA10" s="3"/>
      <c r="BB10" s="3"/>
      <c r="BC10" s="3"/>
      <c r="BD10" s="3"/>
      <c r="BE10" s="3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</row>
    <row r="11" spans="1:73" s="38" customFormat="1" ht="24" customHeight="1" thickTop="1" thickBot="1" x14ac:dyDescent="0.25">
      <c r="A11" s="167" t="s">
        <v>29</v>
      </c>
      <c r="B11" s="166"/>
      <c r="C11" s="166"/>
      <c r="D11" s="166"/>
      <c r="E11" s="166"/>
      <c r="F11" s="165">
        <v>3.04</v>
      </c>
      <c r="G11" s="165"/>
      <c r="H11" s="165"/>
      <c r="I11" s="165"/>
      <c r="J11" s="164">
        <v>3288.5</v>
      </c>
      <c r="K11" s="163"/>
      <c r="L11" s="163"/>
      <c r="M11" s="163"/>
      <c r="N11" s="162">
        <v>43</v>
      </c>
      <c r="O11" s="162"/>
      <c r="P11" s="162"/>
      <c r="Q11" s="162">
        <v>0.96609999999999996</v>
      </c>
      <c r="R11" s="162"/>
      <c r="S11" s="162"/>
      <c r="T11" s="161">
        <f>EXP(-((0.1869696/Q11+0.4862)/(1000*Q11)*(N11-15)*(1+0.8*(0.1869696/Q11+0.4862)/(1000*Q11)*(N11-15))))</f>
        <v>0.98018811804947603</v>
      </c>
      <c r="U11" s="161">
        <f>EXP(-((0.1869696/T11+0.4862)/(1000*T11)*(S11-15)*(1+0.8*(0.1869696/T11+0.4862)/(1000*T11)*(S11-15))))</f>
        <v>1.0103265708468543</v>
      </c>
      <c r="V11" s="161">
        <f>EXP(-((0.1869696/U11+0.4862)/(1000*U11)*(T11-15)*(1+0.8*(0.1869696/U11+0.4862)/(1000*U11)*(T11-15))))</f>
        <v>1.0092881884084881</v>
      </c>
      <c r="W11" s="155">
        <f>J11*T11</f>
        <v>3223.3486262057017</v>
      </c>
      <c r="X11" s="155"/>
      <c r="Y11" s="155"/>
      <c r="Z11" s="161">
        <f>Q11-0.0011</f>
        <v>0.96499999999999997</v>
      </c>
      <c r="AA11" s="161"/>
      <c r="AB11" s="161"/>
      <c r="AC11" s="160"/>
      <c r="AD11" s="160"/>
      <c r="AE11" s="160"/>
      <c r="AF11" s="159" t="s">
        <v>22</v>
      </c>
      <c r="AG11" s="158"/>
      <c r="AH11" s="158"/>
      <c r="AI11" s="155">
        <f>IF(AF11="LSFO","0",(W11*Z11))</f>
        <v>3110.531424288502</v>
      </c>
      <c r="AJ11" s="155"/>
      <c r="AK11" s="157"/>
      <c r="AL11" s="156">
        <v>3733.7</v>
      </c>
      <c r="AM11" s="155"/>
      <c r="AN11" s="154"/>
      <c r="AO11" s="62"/>
      <c r="AP11" s="62"/>
      <c r="AQ11" s="62"/>
      <c r="AR11" s="71"/>
      <c r="AS11" s="71"/>
      <c r="AT11" s="71"/>
      <c r="AU11" s="113"/>
      <c r="AV11" s="122">
        <f>AL11*0.85*0.9884</f>
        <v>3136.8307179999997</v>
      </c>
      <c r="AW11" s="40"/>
      <c r="AX11" s="40"/>
      <c r="AY11" s="40"/>
      <c r="AZ11" s="40"/>
      <c r="BA11" s="40">
        <f>AL11*0.85</f>
        <v>3173.645</v>
      </c>
      <c r="BB11" s="40"/>
      <c r="BC11" s="40"/>
      <c r="BD11" s="40"/>
      <c r="BE11" s="40"/>
      <c r="BI11" s="60"/>
      <c r="BJ11" s="60"/>
      <c r="BK11" s="60"/>
      <c r="BL11" s="60"/>
      <c r="BM11" s="60"/>
      <c r="BN11" s="60"/>
      <c r="BO11" s="60"/>
      <c r="BP11" s="60"/>
      <c r="BQ11" s="60"/>
    </row>
    <row r="12" spans="1:73" s="38" customFormat="1" ht="21.75" customHeight="1" thickTop="1" thickBot="1" x14ac:dyDescent="0.25">
      <c r="A12" s="151" t="s">
        <v>28</v>
      </c>
      <c r="B12" s="131"/>
      <c r="C12" s="131"/>
      <c r="D12" s="131"/>
      <c r="E12" s="131"/>
      <c r="F12" s="149">
        <v>19.079999999999998</v>
      </c>
      <c r="G12" s="149"/>
      <c r="H12" s="149"/>
      <c r="I12" s="149"/>
      <c r="J12" s="153">
        <v>119.88</v>
      </c>
      <c r="K12" s="152"/>
      <c r="L12" s="152"/>
      <c r="M12" s="152"/>
      <c r="N12" s="77">
        <v>40</v>
      </c>
      <c r="O12" s="77"/>
      <c r="P12" s="77"/>
      <c r="Q12" s="77">
        <v>0.94059999999999999</v>
      </c>
      <c r="R12" s="77"/>
      <c r="S12" s="77"/>
      <c r="T12" s="127">
        <f>EXP(-((0.1869696/Q12+0.4862)/(1000*Q12)*(N12-15)*(1+0.8*(0.1869696/Q12+0.4862)/(1000*Q12)*(N12-15))))</f>
        <v>0.98169852992835949</v>
      </c>
      <c r="U12" s="127">
        <f>EXP(-((0.1869696/T12+0.4862)/(1000*T12)*(S12-15)*(1+0.8*(0.1869696/T12+0.4862)/(1000*T12)*(S12-15))))</f>
        <v>1.0103062787814476</v>
      </c>
      <c r="V12" s="127">
        <f>EXP(-((0.1869696/U12+0.4862)/(1000*U12)*(T12-15)*(1+0.8*(0.1869696/U12+0.4862)/(1000*U12)*(T12-15))))</f>
        <v>1.0092874279352284</v>
      </c>
      <c r="W12" s="124">
        <f>J12*T12</f>
        <v>117.68601976781173</v>
      </c>
      <c r="X12" s="124"/>
      <c r="Y12" s="124"/>
      <c r="Z12" s="127">
        <f>Q12-0.0011</f>
        <v>0.9395</v>
      </c>
      <c r="AA12" s="127"/>
      <c r="AB12" s="127"/>
      <c r="AC12" s="126"/>
      <c r="AD12" s="126"/>
      <c r="AE12" s="126"/>
      <c r="AF12" s="125" t="s">
        <v>22</v>
      </c>
      <c r="AG12" s="64"/>
      <c r="AH12" s="64"/>
      <c r="AI12" s="124">
        <f>IF(AF12="LSFO","0",(W12*Z12))</f>
        <v>110.56601557185913</v>
      </c>
      <c r="AJ12" s="124"/>
      <c r="AK12" s="148"/>
      <c r="AL12" s="147">
        <v>3544.8</v>
      </c>
      <c r="AM12" s="124"/>
      <c r="AN12" s="146"/>
      <c r="AO12" s="62"/>
      <c r="AP12" s="62"/>
      <c r="AQ12" s="62"/>
      <c r="AR12" s="71"/>
      <c r="AS12" s="71"/>
      <c r="AT12" s="71"/>
      <c r="AU12" s="113"/>
      <c r="AV12" s="122"/>
      <c r="AW12" s="40"/>
      <c r="AX12" s="40"/>
      <c r="AY12" s="40"/>
      <c r="AZ12" s="40"/>
      <c r="BA12" s="40"/>
      <c r="BB12" s="40"/>
      <c r="BC12" s="40"/>
      <c r="BD12" s="40"/>
      <c r="BE12" s="40"/>
      <c r="BI12" s="60"/>
      <c r="BJ12" s="60"/>
      <c r="BK12" s="60"/>
      <c r="BL12" s="60"/>
      <c r="BM12" s="60"/>
      <c r="BN12" s="60"/>
      <c r="BO12" s="60"/>
      <c r="BP12" s="60"/>
      <c r="BQ12" s="60"/>
    </row>
    <row r="13" spans="1:73" s="40" customFormat="1" ht="15.95" hidden="1" customHeight="1" thickTop="1" thickBot="1" x14ac:dyDescent="0.25">
      <c r="A13" s="151"/>
      <c r="B13" s="131"/>
      <c r="C13" s="131"/>
      <c r="D13" s="131"/>
      <c r="E13" s="131"/>
      <c r="F13" s="130"/>
      <c r="G13" s="130"/>
      <c r="H13" s="130"/>
      <c r="I13" s="130"/>
      <c r="J13" s="150"/>
      <c r="K13" s="150"/>
      <c r="L13" s="150"/>
      <c r="M13" s="150"/>
      <c r="N13" s="77"/>
      <c r="O13" s="77"/>
      <c r="P13" s="77"/>
      <c r="Q13" s="77"/>
      <c r="R13" s="77"/>
      <c r="S13" s="77"/>
      <c r="T13" s="127"/>
      <c r="U13" s="127"/>
      <c r="V13" s="127"/>
      <c r="W13" s="124"/>
      <c r="X13" s="124"/>
      <c r="Y13" s="124"/>
      <c r="Z13" s="127"/>
      <c r="AA13" s="127"/>
      <c r="AB13" s="127"/>
      <c r="AC13" s="149"/>
      <c r="AD13" s="149"/>
      <c r="AE13" s="149"/>
      <c r="AF13" s="125"/>
      <c r="AG13" s="64"/>
      <c r="AH13" s="64"/>
      <c r="AI13" s="124"/>
      <c r="AJ13" s="124"/>
      <c r="AK13" s="148"/>
      <c r="AL13" s="147"/>
      <c r="AM13" s="124"/>
      <c r="AN13" s="146"/>
      <c r="AO13" s="62"/>
      <c r="AP13" s="62"/>
      <c r="AQ13" s="62"/>
      <c r="AR13" s="71"/>
      <c r="AS13" s="71"/>
      <c r="AT13" s="71"/>
      <c r="AU13" s="113"/>
      <c r="AV13" s="122">
        <f>AL13*0.85*0.9884</f>
        <v>0</v>
      </c>
      <c r="BA13" s="40">
        <f>AL13*0.85</f>
        <v>0</v>
      </c>
      <c r="BI13" s="60"/>
      <c r="BJ13" s="60"/>
      <c r="BK13" s="60"/>
      <c r="BL13" s="60"/>
      <c r="BM13" s="60"/>
      <c r="BN13" s="60"/>
      <c r="BO13" s="60"/>
      <c r="BP13" s="60"/>
      <c r="BQ13" s="60"/>
      <c r="BR13" s="38"/>
      <c r="BS13" s="38"/>
      <c r="BT13" s="38"/>
      <c r="BU13" s="38"/>
    </row>
    <row r="14" spans="1:73" s="38" customFormat="1" ht="16.5" thickTop="1" thickBot="1" x14ac:dyDescent="0.25">
      <c r="A14" s="151" t="s">
        <v>27</v>
      </c>
      <c r="B14" s="131"/>
      <c r="C14" s="131"/>
      <c r="D14" s="131"/>
      <c r="E14" s="131"/>
      <c r="F14" s="130" t="s">
        <v>23</v>
      </c>
      <c r="G14" s="130"/>
      <c r="H14" s="130"/>
      <c r="I14" s="130"/>
      <c r="J14" s="150">
        <v>90</v>
      </c>
      <c r="K14" s="150"/>
      <c r="L14" s="150"/>
      <c r="M14" s="150"/>
      <c r="N14" s="77">
        <v>52</v>
      </c>
      <c r="O14" s="77"/>
      <c r="P14" s="77"/>
      <c r="Q14" s="77">
        <v>0.94059999999999999</v>
      </c>
      <c r="R14" s="77"/>
      <c r="S14" s="77"/>
      <c r="T14" s="127">
        <f>EXP(-((0.1869696/Q14+0.4862)/(1000*Q14)*(N14-15)*(1+0.8*(0.1869696/Q14+0.4862)/(1000*Q14)*(N14-15))))</f>
        <v>0.9728499020510788</v>
      </c>
      <c r="U14" s="127">
        <f>EXP(-((0.1869696/T14+0.4862)/(1000*T14)*(S14-15)*(1+0.8*(0.1869696/T14+0.4862)/(1000*T14)*(S14-15))))</f>
        <v>1.0104262497486045</v>
      </c>
      <c r="V14" s="127">
        <f>EXP(-((0.1869696/U14+0.4862)/(1000*U14)*(T14-15)*(1+0.8*(0.1869696/U14+0.4862)/(1000*U14)*(T14-15))))</f>
        <v>1.0092918697721331</v>
      </c>
      <c r="W14" s="124">
        <f>J14*T14</f>
        <v>87.556491184597093</v>
      </c>
      <c r="X14" s="124"/>
      <c r="Y14" s="124"/>
      <c r="Z14" s="127">
        <f>Q14-0.0011</f>
        <v>0.9395</v>
      </c>
      <c r="AA14" s="127"/>
      <c r="AB14" s="127"/>
      <c r="AC14" s="149"/>
      <c r="AD14" s="149"/>
      <c r="AE14" s="149"/>
      <c r="AF14" s="125" t="s">
        <v>22</v>
      </c>
      <c r="AG14" s="64"/>
      <c r="AH14" s="64"/>
      <c r="AI14" s="124">
        <f>IF(AF14="LSFO","0",(W14*Z14))</f>
        <v>82.259323467928965</v>
      </c>
      <c r="AJ14" s="124"/>
      <c r="AK14" s="148"/>
      <c r="AL14" s="147">
        <v>117.7</v>
      </c>
      <c r="AM14" s="124"/>
      <c r="AN14" s="146"/>
      <c r="AO14" s="62"/>
      <c r="AP14" s="62"/>
      <c r="AQ14" s="62"/>
      <c r="AR14" s="71"/>
      <c r="AS14" s="71"/>
      <c r="AT14" s="71"/>
      <c r="AU14" s="113"/>
      <c r="AV14" s="122">
        <f>AL14*0.85*0.9884</f>
        <v>98.884478000000001</v>
      </c>
      <c r="AW14" s="40"/>
      <c r="AX14" s="40"/>
      <c r="AY14" s="40"/>
      <c r="AZ14" s="40"/>
      <c r="BA14" s="40">
        <f>AL14*0.85</f>
        <v>100.045</v>
      </c>
      <c r="BB14" s="40"/>
      <c r="BC14" s="40"/>
      <c r="BD14" s="40"/>
      <c r="BE14" s="4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</row>
    <row r="15" spans="1:73" s="38" customFormat="1" ht="16.5" thickTop="1" thickBot="1" x14ac:dyDescent="0.25">
      <c r="A15" s="151" t="s">
        <v>26</v>
      </c>
      <c r="B15" s="131"/>
      <c r="C15" s="131"/>
      <c r="D15" s="131"/>
      <c r="E15" s="131"/>
      <c r="F15" s="130" t="s">
        <v>23</v>
      </c>
      <c r="G15" s="130"/>
      <c r="H15" s="130"/>
      <c r="I15" s="130"/>
      <c r="J15" s="150">
        <v>98</v>
      </c>
      <c r="K15" s="150"/>
      <c r="L15" s="150"/>
      <c r="M15" s="150"/>
      <c r="N15" s="77">
        <v>88</v>
      </c>
      <c r="O15" s="77"/>
      <c r="P15" s="77"/>
      <c r="Q15" s="77">
        <v>0.94059999999999999</v>
      </c>
      <c r="R15" s="77"/>
      <c r="S15" s="77"/>
      <c r="T15" s="127">
        <f>EXP(-((0.1869696/Q15+0.4862)/(1000*Q15)*(N15-15)*(1+0.8*(0.1869696/Q15+0.4862)/(1000*Q15)*(N15-15))))</f>
        <v>0.94608584693144215</v>
      </c>
      <c r="U15" s="127">
        <f>EXP(-((0.1869696/T15+0.4862)/(1000*T15)*(S15-15)*(1+0.8*(0.1869696/T15+0.4862)/(1000*T15)*(S15-15))))</f>
        <v>1.0108058252743239</v>
      </c>
      <c r="V15" s="127">
        <f>EXP(-((0.1869696/U15+0.4862)/(1000*U15)*(T15-15)*(1+0.8*(0.1869696/U15+0.4862)/(1000*U15)*(T15-15))))</f>
        <v>1.0093051008285943</v>
      </c>
      <c r="W15" s="124">
        <f>J15*T15</f>
        <v>92.716412999281332</v>
      </c>
      <c r="X15" s="124"/>
      <c r="Y15" s="124"/>
      <c r="Z15" s="127">
        <f>Q15-0.0011</f>
        <v>0.9395</v>
      </c>
      <c r="AA15" s="127"/>
      <c r="AB15" s="127"/>
      <c r="AC15" s="149"/>
      <c r="AD15" s="149"/>
      <c r="AE15" s="149"/>
      <c r="AF15" s="125" t="s">
        <v>22</v>
      </c>
      <c r="AG15" s="64"/>
      <c r="AH15" s="64"/>
      <c r="AI15" s="124">
        <f>IF(AF15="LSFO","0",(W15*Z15))</f>
        <v>87.107070012824806</v>
      </c>
      <c r="AJ15" s="124"/>
      <c r="AK15" s="148"/>
      <c r="AL15" s="147">
        <v>117.7</v>
      </c>
      <c r="AM15" s="124"/>
      <c r="AN15" s="146"/>
      <c r="AO15" s="62"/>
      <c r="AP15" s="62"/>
      <c r="AQ15" s="62"/>
      <c r="AR15" s="71"/>
      <c r="AS15" s="71"/>
      <c r="AT15" s="71"/>
      <c r="AU15" s="132" t="s">
        <v>25</v>
      </c>
      <c r="AV15" s="122">
        <f>AL15*0.85*0.9884</f>
        <v>98.884478000000001</v>
      </c>
      <c r="AW15" s="40"/>
      <c r="AX15" s="40"/>
      <c r="AY15" s="40"/>
      <c r="AZ15" s="40"/>
      <c r="BA15" s="40"/>
      <c r="BB15" s="40"/>
      <c r="BC15" s="40"/>
      <c r="BD15" s="40"/>
      <c r="BE15" s="4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</row>
    <row r="16" spans="1:73" s="38" customFormat="1" ht="16.5" thickTop="1" thickBot="1" x14ac:dyDescent="0.3">
      <c r="A16" s="145" t="s">
        <v>24</v>
      </c>
      <c r="B16" s="144"/>
      <c r="C16" s="144"/>
      <c r="D16" s="144"/>
      <c r="E16" s="144"/>
      <c r="F16" s="143" t="s">
        <v>23</v>
      </c>
      <c r="G16" s="143"/>
      <c r="H16" s="143"/>
      <c r="I16" s="143"/>
      <c r="J16" s="142">
        <v>46</v>
      </c>
      <c r="K16" s="142"/>
      <c r="L16" s="142"/>
      <c r="M16" s="142"/>
      <c r="N16" s="141">
        <v>44</v>
      </c>
      <c r="O16" s="141"/>
      <c r="P16" s="141"/>
      <c r="Q16" s="55">
        <v>0.94059999999999999</v>
      </c>
      <c r="R16" s="55"/>
      <c r="S16" s="55"/>
      <c r="T16" s="140">
        <f>EXP(-((0.1869696/Q16+0.4862)/(1000*Q16)*(N16-15)*(1+0.8*(0.1869696/Q16+0.4862)/(1000*Q16)*(N16-15))))</f>
        <v>0.97875336844282357</v>
      </c>
      <c r="U16" s="140">
        <f>EXP(-((0.1869696/T16+0.4862)/(1000*T16)*(S16-15)*(1+0.8*(0.1869696/T16+0.4862)/(1000*T16)*(S16-15))))</f>
        <v>1.0103459169329818</v>
      </c>
      <c r="V16" s="140">
        <f>EXP(-((0.1869696/U16+0.4862)/(1000*U16)*(T16-15)*(1+0.8*(0.1869696/U16+0.4862)/(1000*U16)*(T16-15))))</f>
        <v>1.0092889099250291</v>
      </c>
      <c r="W16" s="134">
        <f>J16*T16</f>
        <v>45.022654948369883</v>
      </c>
      <c r="X16" s="134"/>
      <c r="Y16" s="134"/>
      <c r="Z16" s="140">
        <f>Q16-0.0011</f>
        <v>0.9395</v>
      </c>
      <c r="AA16" s="140"/>
      <c r="AB16" s="140"/>
      <c r="AC16" s="139"/>
      <c r="AD16" s="139"/>
      <c r="AE16" s="139"/>
      <c r="AF16" s="138" t="s">
        <v>22</v>
      </c>
      <c r="AG16" s="137"/>
      <c r="AH16" s="137"/>
      <c r="AI16" s="134">
        <f>IF(AF16="LSFO","0",(W16*Z16))</f>
        <v>42.298784323993509</v>
      </c>
      <c r="AJ16" s="134"/>
      <c r="AK16" s="136"/>
      <c r="AL16" s="135">
        <v>62.1</v>
      </c>
      <c r="AM16" s="134"/>
      <c r="AN16" s="133"/>
      <c r="AO16" s="62"/>
      <c r="AP16" s="62"/>
      <c r="AQ16" s="62"/>
      <c r="AR16" s="71"/>
      <c r="AS16" s="71"/>
      <c r="AT16" s="71"/>
      <c r="AU16" s="132"/>
      <c r="AV16" s="122">
        <f>AL16*0.85*0.9884</f>
        <v>52.172693999999993</v>
      </c>
      <c r="AW16" s="40"/>
      <c r="AX16" s="40"/>
      <c r="AY16" s="40"/>
      <c r="AZ16" s="40"/>
      <c r="BA16" s="40"/>
      <c r="BB16" s="40"/>
      <c r="BC16" s="40"/>
      <c r="BD16" s="40"/>
      <c r="BE16" s="4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/>
      <c r="BS16"/>
      <c r="BT16"/>
      <c r="BU16"/>
    </row>
    <row r="17" spans="1:73" s="38" customFormat="1" ht="11.25" customHeight="1" thickTop="1" thickBot="1" x14ac:dyDescent="0.3">
      <c r="A17" s="131"/>
      <c r="B17" s="131"/>
      <c r="C17" s="131"/>
      <c r="D17" s="131"/>
      <c r="E17" s="131"/>
      <c r="F17" s="130"/>
      <c r="G17" s="130"/>
      <c r="H17" s="130"/>
      <c r="I17" s="130"/>
      <c r="J17" s="129"/>
      <c r="K17" s="129"/>
      <c r="L17" s="129"/>
      <c r="M17" s="129"/>
      <c r="N17" s="128"/>
      <c r="O17" s="128"/>
      <c r="P17" s="128"/>
      <c r="Q17" s="77"/>
      <c r="R17" s="77"/>
      <c r="S17" s="77"/>
      <c r="T17" s="127"/>
      <c r="U17" s="127"/>
      <c r="V17" s="127"/>
      <c r="W17" s="124"/>
      <c r="X17" s="124"/>
      <c r="Y17" s="124"/>
      <c r="Z17" s="127"/>
      <c r="AA17" s="127"/>
      <c r="AB17" s="127"/>
      <c r="AC17" s="126"/>
      <c r="AD17" s="126"/>
      <c r="AE17" s="126"/>
      <c r="AF17" s="125"/>
      <c r="AG17" s="64"/>
      <c r="AH17" s="64"/>
      <c r="AI17" s="124"/>
      <c r="AJ17" s="124"/>
      <c r="AK17" s="124"/>
      <c r="AL17" s="124"/>
      <c r="AM17" s="124"/>
      <c r="AN17" s="124"/>
      <c r="AO17" s="62"/>
      <c r="AP17" s="62"/>
      <c r="AQ17" s="62"/>
      <c r="AR17" s="123"/>
      <c r="AS17" s="123"/>
      <c r="AT17" s="123"/>
      <c r="AU17" s="113"/>
      <c r="AV17" s="122">
        <f>AL17*0.85*0.9884</f>
        <v>0</v>
      </c>
      <c r="AW17" s="40"/>
      <c r="AX17" s="40"/>
      <c r="AY17" s="40"/>
      <c r="AZ17" s="40"/>
      <c r="BA17" s="40"/>
      <c r="BB17" s="40"/>
      <c r="BC17" s="40"/>
      <c r="BD17" s="40"/>
      <c r="BE17" s="4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/>
      <c r="BS17"/>
      <c r="BT17"/>
      <c r="BU17"/>
    </row>
    <row r="18" spans="1:73" s="38" customFormat="1" ht="16.5" thickTop="1" thickBot="1" x14ac:dyDescent="0.3">
      <c r="A18" s="110"/>
      <c r="B18" s="110"/>
      <c r="C18" s="110"/>
      <c r="D18" s="110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40"/>
      <c r="R18" s="40"/>
      <c r="S18" s="40"/>
      <c r="T18" s="40"/>
      <c r="U18" s="40"/>
      <c r="V18" s="40"/>
      <c r="W18" s="112"/>
      <c r="X18" s="112"/>
      <c r="Y18" s="112"/>
      <c r="Z18" s="40"/>
      <c r="AA18" s="40"/>
      <c r="AB18" s="40"/>
      <c r="AC18" s="40"/>
      <c r="AD18" s="40"/>
      <c r="AE18" s="40"/>
      <c r="AF18" s="40"/>
      <c r="AG18" s="120">
        <v>3432.76</v>
      </c>
      <c r="AH18" s="40"/>
      <c r="AI18" s="119">
        <f>SUM(AI11:AK17)</f>
        <v>3432.7626176651083</v>
      </c>
      <c r="AJ18" s="118"/>
      <c r="AK18" s="117"/>
      <c r="AL18" s="116">
        <f>SUM(AL11:AN17)</f>
        <v>7576</v>
      </c>
      <c r="AM18" s="115"/>
      <c r="AN18" s="114"/>
      <c r="AO18" s="111"/>
      <c r="AP18" s="110"/>
      <c r="AR18" s="40"/>
      <c r="AS18" s="40"/>
      <c r="AT18" s="40"/>
      <c r="AU18" s="113"/>
      <c r="AV18" s="112"/>
      <c r="AW18" s="40"/>
      <c r="AX18" s="40"/>
      <c r="AY18" s="40"/>
      <c r="AZ18" s="40"/>
      <c r="BA18" s="40"/>
      <c r="BB18" s="40"/>
      <c r="BC18" s="40"/>
      <c r="BD18" s="40"/>
      <c r="BE18" s="4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/>
      <c r="BS18"/>
      <c r="BT18"/>
      <c r="BU18"/>
    </row>
    <row r="19" spans="1:73" ht="15.75" thickBot="1" x14ac:dyDescent="0.3">
      <c r="A19" s="5"/>
      <c r="B19" s="5"/>
      <c r="C19" s="5"/>
      <c r="D19" s="5"/>
      <c r="E19" s="5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112"/>
      <c r="X19" s="112"/>
      <c r="Y19" s="112"/>
      <c r="Z19" s="40"/>
      <c r="AA19" s="40"/>
      <c r="AB19" s="40"/>
      <c r="AC19" s="40"/>
      <c r="AI19" s="111"/>
      <c r="AJ19" s="111"/>
      <c r="AK19" s="111"/>
      <c r="AL19" s="110"/>
      <c r="AM19" s="110"/>
      <c r="AN19" s="110"/>
      <c r="AO19" s="15"/>
      <c r="AP19" s="15"/>
      <c r="AQ19" s="15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</row>
    <row r="20" spans="1:73" ht="20.100000000000001" customHeight="1" thickBot="1" x14ac:dyDescent="0.3">
      <c r="A20" s="109" t="s">
        <v>21</v>
      </c>
      <c r="B20" s="108"/>
      <c r="C20" s="108"/>
      <c r="D20" s="108"/>
      <c r="E20" s="107"/>
      <c r="F20" s="102" t="s">
        <v>20</v>
      </c>
      <c r="G20" s="101"/>
      <c r="H20" s="101"/>
      <c r="I20" s="100"/>
      <c r="J20" s="102" t="s">
        <v>19</v>
      </c>
      <c r="K20" s="101"/>
      <c r="L20" s="101"/>
      <c r="M20" s="100"/>
      <c r="N20" s="102" t="s">
        <v>18</v>
      </c>
      <c r="O20" s="101"/>
      <c r="P20" s="100"/>
      <c r="Q20" s="102" t="s">
        <v>17</v>
      </c>
      <c r="R20" s="101"/>
      <c r="S20" s="100"/>
      <c r="T20" s="102" t="s">
        <v>16</v>
      </c>
      <c r="U20" s="101"/>
      <c r="V20" s="100"/>
      <c r="W20" s="105" t="s">
        <v>15</v>
      </c>
      <c r="X20" s="104"/>
      <c r="Y20" s="106"/>
      <c r="Z20" s="102" t="s">
        <v>14</v>
      </c>
      <c r="AA20" s="101"/>
      <c r="AB20" s="100"/>
      <c r="AC20" s="102" t="s">
        <v>13</v>
      </c>
      <c r="AD20" s="101"/>
      <c r="AE20" s="100"/>
      <c r="AF20" s="102" t="s">
        <v>12</v>
      </c>
      <c r="AG20" s="101"/>
      <c r="AH20" s="100"/>
      <c r="AI20" s="105" t="s">
        <v>11</v>
      </c>
      <c r="AJ20" s="104"/>
      <c r="AK20" s="103"/>
      <c r="AL20" s="102" t="s">
        <v>10</v>
      </c>
      <c r="AM20" s="101"/>
      <c r="AN20" s="100"/>
      <c r="AO20" s="85"/>
      <c r="AP20" s="85"/>
      <c r="AQ20" s="85"/>
      <c r="AR20" s="85"/>
      <c r="AS20" s="85"/>
      <c r="AT20" s="85"/>
      <c r="AU20" s="99"/>
      <c r="AV20" s="98" t="s">
        <v>9</v>
      </c>
      <c r="AW20" s="96"/>
      <c r="AX20" s="97" t="s">
        <v>8</v>
      </c>
      <c r="AY20" s="97"/>
      <c r="AZ20" s="96"/>
      <c r="BA20" s="96"/>
      <c r="BB20" s="96"/>
      <c r="BC20" s="96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38"/>
      <c r="BS20" s="38"/>
      <c r="BT20" s="38"/>
      <c r="BU20" s="38"/>
    </row>
    <row r="21" spans="1:73" ht="24.75" thickTop="1" thickBot="1" x14ac:dyDescent="0.3">
      <c r="A21" s="95"/>
      <c r="B21" s="94"/>
      <c r="C21" s="94"/>
      <c r="D21" s="94"/>
      <c r="E21" s="93"/>
      <c r="F21" s="88"/>
      <c r="G21" s="87"/>
      <c r="H21" s="87"/>
      <c r="I21" s="86"/>
      <c r="J21" s="88"/>
      <c r="K21" s="87"/>
      <c r="L21" s="87"/>
      <c r="M21" s="86"/>
      <c r="N21" s="88"/>
      <c r="O21" s="87"/>
      <c r="P21" s="86"/>
      <c r="Q21" s="88"/>
      <c r="R21" s="87"/>
      <c r="S21" s="86"/>
      <c r="T21" s="88"/>
      <c r="U21" s="87"/>
      <c r="V21" s="86"/>
      <c r="W21" s="91"/>
      <c r="X21" s="90"/>
      <c r="Y21" s="92"/>
      <c r="Z21" s="88"/>
      <c r="AA21" s="87"/>
      <c r="AB21" s="86"/>
      <c r="AC21" s="88"/>
      <c r="AD21" s="87"/>
      <c r="AE21" s="86"/>
      <c r="AF21" s="88"/>
      <c r="AG21" s="87"/>
      <c r="AH21" s="86"/>
      <c r="AI21" s="91"/>
      <c r="AJ21" s="90"/>
      <c r="AK21" s="89"/>
      <c r="AL21" s="88"/>
      <c r="AM21" s="87"/>
      <c r="AN21" s="86"/>
      <c r="AO21" s="85"/>
      <c r="AP21" s="85"/>
      <c r="AQ21" s="85"/>
      <c r="AR21" s="85"/>
      <c r="AS21" s="85"/>
      <c r="AT21" s="85"/>
      <c r="AU21" s="82"/>
      <c r="AV21" s="84"/>
      <c r="AW21" s="81"/>
      <c r="AX21" s="83"/>
      <c r="AY21" s="83"/>
      <c r="AZ21" s="81"/>
      <c r="BA21" s="81"/>
      <c r="BB21" s="82" t="s">
        <v>7</v>
      </c>
      <c r="BC21" s="81" t="s">
        <v>6</v>
      </c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38"/>
      <c r="BS21" s="38"/>
      <c r="BT21" s="38"/>
      <c r="BU21" s="38"/>
    </row>
    <row r="22" spans="1:73" x14ac:dyDescent="0.25">
      <c r="A22" s="79" t="s">
        <v>5</v>
      </c>
      <c r="B22" s="78"/>
      <c r="C22" s="78"/>
      <c r="D22" s="78"/>
      <c r="E22" s="78"/>
      <c r="F22" s="64">
        <v>12.57</v>
      </c>
      <c r="G22" s="64"/>
      <c r="H22" s="64"/>
      <c r="I22" s="64"/>
      <c r="J22" s="68">
        <v>394.1</v>
      </c>
      <c r="K22" s="68"/>
      <c r="L22" s="68"/>
      <c r="M22" s="68"/>
      <c r="N22" s="64">
        <v>35</v>
      </c>
      <c r="O22" s="64"/>
      <c r="P22" s="64"/>
      <c r="Q22" s="64">
        <v>0.84799999999999998</v>
      </c>
      <c r="R22" s="64"/>
      <c r="S22" s="64"/>
      <c r="T22" s="73">
        <f>EXP(-((0.1869696/Q22+0.4862)/(1000*Q22)*(N22-15)*(1+0.8*(0.1869696/Q22+0.4862)/(1000*Q22)*(N22-15))))</f>
        <v>0.98325253957253189</v>
      </c>
      <c r="U22" s="73">
        <f>EXP(-((0.1869696/T22+0.4862)/(1000*T22)*(S22-15)*(1+0.8*(0.1869696/T22+0.4862)/(1000*T22)*(S22-15))))</f>
        <v>1.0102854800449668</v>
      </c>
      <c r="V22" s="73">
        <f>EXP(-((0.1869696/U22+0.4862)/(1000*U22)*(T22-15)*(1+0.8*(0.1869696/U22+0.4862)/(1000*U22)*(T22-15))))</f>
        <v>1.0092866445450561</v>
      </c>
      <c r="W22" s="76">
        <f>J22*T22</f>
        <v>387.49982584553482</v>
      </c>
      <c r="X22" s="76"/>
      <c r="Y22" s="76"/>
      <c r="Z22" s="73">
        <f>Q22-0.0011</f>
        <v>0.84689999999999999</v>
      </c>
      <c r="AA22" s="73"/>
      <c r="AB22" s="73"/>
      <c r="AC22" s="64">
        <v>2.9999999999999997E-4</v>
      </c>
      <c r="AD22" s="64"/>
      <c r="AE22" s="64"/>
      <c r="AF22" s="77" t="s">
        <v>2</v>
      </c>
      <c r="AG22" s="77"/>
      <c r="AH22" s="77"/>
      <c r="AI22" s="76">
        <f>W22*Z22</f>
        <v>328.17360250858343</v>
      </c>
      <c r="AJ22" s="76"/>
      <c r="AK22" s="75"/>
      <c r="AL22" s="74">
        <v>462.8</v>
      </c>
      <c r="AM22" s="73"/>
      <c r="AN22" s="72"/>
      <c r="AO22" s="62"/>
      <c r="AP22" s="62"/>
      <c r="AQ22" s="62"/>
      <c r="AR22" s="71"/>
      <c r="AS22" s="71"/>
      <c r="AT22" s="71"/>
      <c r="AV22" s="80">
        <f>AL22*0.85*0.8445</f>
        <v>332.20940999999999</v>
      </c>
      <c r="BA22" s="40">
        <f>AL22*0.85*Z22*T22</f>
        <v>327.57404657403339</v>
      </c>
      <c r="BB22" s="1">
        <f>AL22*0.9</f>
        <v>416.52000000000004</v>
      </c>
      <c r="BC22" s="1">
        <f>BB22*Z22*T22</f>
        <v>346.8431081372118</v>
      </c>
      <c r="BF22" s="60"/>
      <c r="BG22" s="60"/>
      <c r="BH22" s="60"/>
      <c r="BI22" s="38"/>
      <c r="BJ22" s="38"/>
      <c r="BK22" s="38"/>
      <c r="BL22" s="38"/>
      <c r="BM22" s="38"/>
      <c r="BN22" s="39"/>
      <c r="BO22" s="39"/>
      <c r="BP22" s="39"/>
      <c r="BQ22" s="39"/>
      <c r="BR22" s="39"/>
      <c r="BS22" s="39"/>
      <c r="BT22" s="39"/>
      <c r="BU22" s="39"/>
    </row>
    <row r="23" spans="1:73" s="38" customFormat="1" x14ac:dyDescent="0.25">
      <c r="A23" s="79" t="s">
        <v>4</v>
      </c>
      <c r="B23" s="78"/>
      <c r="C23" s="78"/>
      <c r="D23" s="78"/>
      <c r="E23" s="78"/>
      <c r="F23" s="64" t="s">
        <v>3</v>
      </c>
      <c r="G23" s="64"/>
      <c r="H23" s="64"/>
      <c r="I23" s="64"/>
      <c r="J23" s="67">
        <v>32.880000000000003</v>
      </c>
      <c r="K23" s="67"/>
      <c r="L23" s="67"/>
      <c r="M23" s="67"/>
      <c r="N23" s="64">
        <v>35</v>
      </c>
      <c r="O23" s="64"/>
      <c r="P23" s="64"/>
      <c r="Q23" s="64">
        <v>0.88690000000000002</v>
      </c>
      <c r="R23" s="64"/>
      <c r="S23" s="64"/>
      <c r="T23" s="73">
        <f>EXP(-((0.1869696/Q23+0.4862)/(1000*Q23)*(N23-15)*(1+0.8*(0.1869696/Q23+0.4862)/(1000*Q23)*(N23-15))))</f>
        <v>0.98421039063198945</v>
      </c>
      <c r="U23" s="73">
        <f>EXP(-((0.1869696/T23+0.4862)/(1000*T23)*(S23-15)*(1+0.8*(0.1869696/T23+0.4862)/(1000*T23)*(S23-15))))</f>
        <v>1.0102726999953513</v>
      </c>
      <c r="V23" s="73">
        <f>EXP(-((0.1869696/U23+0.4862)/(1000*U23)*(T23-15)*(1+0.8*(0.1869696/U23+0.4862)/(1000*U23)*(T23-15))))</f>
        <v>1.0092861611980277</v>
      </c>
      <c r="W23" s="76">
        <f>J23*T23</f>
        <v>32.360837643979814</v>
      </c>
      <c r="X23" s="76"/>
      <c r="Y23" s="76"/>
      <c r="Z23" s="73">
        <f>Q23-0.0011</f>
        <v>0.88580000000000003</v>
      </c>
      <c r="AA23" s="73"/>
      <c r="AB23" s="73"/>
      <c r="AC23" s="64">
        <v>4.0000000000000002E-4</v>
      </c>
      <c r="AD23" s="64"/>
      <c r="AE23" s="64"/>
      <c r="AF23" s="77" t="s">
        <v>2</v>
      </c>
      <c r="AG23" s="77"/>
      <c r="AH23" s="77"/>
      <c r="AI23" s="76">
        <f>W23*Z23</f>
        <v>28.665229985037321</v>
      </c>
      <c r="AJ23" s="76"/>
      <c r="AK23" s="75"/>
      <c r="AL23" s="74">
        <v>47.9</v>
      </c>
      <c r="AM23" s="73"/>
      <c r="AN23" s="72"/>
      <c r="AO23" s="62"/>
      <c r="AP23" s="62"/>
      <c r="AQ23" s="62"/>
      <c r="AR23" s="71"/>
      <c r="AS23" s="71"/>
      <c r="AT23" s="71"/>
      <c r="AU23" s="44"/>
      <c r="AV23" s="43">
        <f>AL23*0.85*0.8445</f>
        <v>34.383817499999999</v>
      </c>
      <c r="AW23" s="42"/>
      <c r="AX23" s="42">
        <v>9</v>
      </c>
      <c r="AY23" s="42"/>
      <c r="AZ23" s="42"/>
      <c r="BA23" s="42">
        <f>AL23*0.85*Z23*T23</f>
        <v>35.495889259148242</v>
      </c>
      <c r="BB23" s="41">
        <f>AL23*0.9</f>
        <v>43.11</v>
      </c>
      <c r="BC23" s="41">
        <f>BB23*Z23*T23</f>
        <v>37.5838827449805</v>
      </c>
      <c r="BD23" s="40"/>
      <c r="BE23" s="40"/>
      <c r="BF23" s="60"/>
      <c r="BG23" s="60"/>
      <c r="BH23" s="60"/>
      <c r="BI23"/>
      <c r="BJ23"/>
      <c r="BK23"/>
      <c r="BL23"/>
      <c r="BM23"/>
      <c r="BN23"/>
      <c r="BO23"/>
      <c r="BP23"/>
      <c r="BQ23"/>
      <c r="BR23"/>
      <c r="BS23"/>
      <c r="BT23"/>
      <c r="BU23"/>
    </row>
    <row r="24" spans="1:73" s="38" customFormat="1" ht="15.75" thickBot="1" x14ac:dyDescent="0.3">
      <c r="A24" s="70"/>
      <c r="B24" s="69"/>
      <c r="C24" s="69"/>
      <c r="D24" s="69"/>
      <c r="E24" s="69"/>
      <c r="F24" s="64"/>
      <c r="G24" s="64"/>
      <c r="H24" s="64"/>
      <c r="I24" s="64"/>
      <c r="J24" s="68"/>
      <c r="K24" s="68"/>
      <c r="L24" s="68"/>
      <c r="M24" s="68"/>
      <c r="N24" s="64"/>
      <c r="O24" s="64"/>
      <c r="P24" s="64"/>
      <c r="Q24" s="64"/>
      <c r="R24" s="64"/>
      <c r="S24" s="64"/>
      <c r="T24" s="64"/>
      <c r="U24" s="64"/>
      <c r="V24" s="64"/>
      <c r="W24" s="67"/>
      <c r="X24" s="67"/>
      <c r="Y24" s="67"/>
      <c r="Z24" s="64"/>
      <c r="AA24" s="64"/>
      <c r="AB24" s="64"/>
      <c r="AC24" s="64"/>
      <c r="AD24" s="64"/>
      <c r="AE24" s="64"/>
      <c r="AF24" s="64"/>
      <c r="AG24" s="64"/>
      <c r="AH24" s="64"/>
      <c r="AI24" s="67"/>
      <c r="AJ24" s="67"/>
      <c r="AK24" s="66"/>
      <c r="AL24" s="65"/>
      <c r="AM24" s="64"/>
      <c r="AN24" s="63"/>
      <c r="AO24" s="62"/>
      <c r="AP24" s="62"/>
      <c r="AQ24" s="62"/>
      <c r="AR24" s="61"/>
      <c r="AS24" s="61"/>
      <c r="AT24" s="61"/>
      <c r="AU24" s="44"/>
      <c r="AV24" s="43"/>
      <c r="AW24" s="42"/>
      <c r="AX24" s="42"/>
      <c r="AY24" s="42"/>
      <c r="AZ24" s="42"/>
      <c r="BA24" s="42"/>
      <c r="BB24" s="41"/>
      <c r="BC24" s="41"/>
      <c r="BD24" s="40"/>
      <c r="BE24" s="40"/>
      <c r="BF24" s="60"/>
      <c r="BG24" s="60"/>
      <c r="BH24" s="60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</row>
    <row r="25" spans="1:73" s="38" customFormat="1" ht="30" hidden="1" customHeight="1" x14ac:dyDescent="0.3">
      <c r="A25" s="59"/>
      <c r="B25" s="58"/>
      <c r="C25" s="58"/>
      <c r="D25" s="58"/>
      <c r="E25" s="58"/>
      <c r="F25" s="56"/>
      <c r="G25" s="56"/>
      <c r="H25" s="56"/>
      <c r="I25" s="56"/>
      <c r="J25" s="57"/>
      <c r="K25" s="57"/>
      <c r="L25" s="57"/>
      <c r="M25" s="57"/>
      <c r="N25" s="56"/>
      <c r="O25" s="56"/>
      <c r="P25" s="56"/>
      <c r="Q25" s="56"/>
      <c r="R25" s="56"/>
      <c r="S25" s="56"/>
      <c r="T25" s="50"/>
      <c r="U25" s="50"/>
      <c r="V25" s="50"/>
      <c r="W25" s="53"/>
      <c r="X25" s="53"/>
      <c r="Y25" s="53"/>
      <c r="Z25" s="50"/>
      <c r="AA25" s="50"/>
      <c r="AB25" s="50"/>
      <c r="AC25" s="56"/>
      <c r="AD25" s="56"/>
      <c r="AE25" s="56"/>
      <c r="AF25" s="54"/>
      <c r="AG25" s="55"/>
      <c r="AH25" s="54"/>
      <c r="AI25" s="53"/>
      <c r="AJ25" s="53"/>
      <c r="AK25" s="52"/>
      <c r="AL25" s="51"/>
      <c r="AM25" s="50"/>
      <c r="AN25" s="49"/>
      <c r="AO25" s="48"/>
      <c r="AP25" s="47"/>
      <c r="AQ25" s="47"/>
      <c r="AR25" s="46"/>
      <c r="AS25" s="46"/>
      <c r="AT25" s="45"/>
      <c r="AU25" s="44"/>
      <c r="AV25" s="43">
        <f>AL25*0.85*0.8445</f>
        <v>0</v>
      </c>
      <c r="AW25" s="42"/>
      <c r="AX25" s="42">
        <v>37</v>
      </c>
      <c r="AY25" s="42"/>
      <c r="AZ25" s="42"/>
      <c r="BA25" s="42">
        <f>AL25*0.85*Z25*T25</f>
        <v>0</v>
      </c>
      <c r="BB25" s="41">
        <f>AL25*0.9</f>
        <v>0</v>
      </c>
      <c r="BC25" s="41">
        <f>BB25*Z25*T25</f>
        <v>0</v>
      </c>
      <c r="BD25" s="40"/>
      <c r="BE25" s="40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 spans="1:73" ht="15.75" thickBot="1" x14ac:dyDescent="0.3">
      <c r="A26" s="7"/>
      <c r="B26" s="37" t="s">
        <v>51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AG26" s="35"/>
      <c r="AI26" s="34">
        <f>SUM(AI22:AK25)</f>
        <v>356.83883249362077</v>
      </c>
      <c r="AJ26" s="33"/>
      <c r="AK26" s="32"/>
      <c r="AL26" s="31">
        <f>SUM(AL22:AN25)</f>
        <v>510.7</v>
      </c>
      <c r="AM26" s="30"/>
      <c r="AN26" s="29"/>
      <c r="AO26" s="28"/>
      <c r="AP26" s="27"/>
      <c r="AQ26" s="27"/>
      <c r="AU26" s="26"/>
      <c r="AV26" s="25"/>
      <c r="AW26" s="11"/>
      <c r="AX26" s="11"/>
      <c r="AY26" s="11"/>
      <c r="AZ26" s="11"/>
      <c r="BA26" s="11"/>
    </row>
    <row r="27" spans="1:73" s="8" customFormat="1" x14ac:dyDescent="0.25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2"/>
      <c r="X27" s="22"/>
      <c r="Y27" s="22"/>
      <c r="AI27" s="21"/>
      <c r="AJ27" s="21"/>
      <c r="AK27" s="21"/>
      <c r="AL27" s="20"/>
      <c r="AM27" s="20"/>
      <c r="AN27" s="20"/>
      <c r="AO27" s="19"/>
      <c r="AP27" s="18"/>
      <c r="AQ27" s="18"/>
      <c r="AU27" s="17"/>
      <c r="AV27" s="16"/>
      <c r="AW27" s="15"/>
      <c r="AX27" s="15"/>
      <c r="AY27" s="15"/>
      <c r="AZ27" s="15"/>
      <c r="BA27" s="15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 spans="1:7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T28" s="8"/>
    </row>
    <row r="29" spans="1:7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 t="s">
        <v>1</v>
      </c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T29" s="8"/>
    </row>
    <row r="30" spans="1:73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T30" s="8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</row>
    <row r="31" spans="1:73" x14ac:dyDescent="0.25">
      <c r="C31" s="5"/>
      <c r="D31" s="1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5"/>
      <c r="W31" s="5"/>
      <c r="X31" s="5"/>
      <c r="AB31" s="11"/>
      <c r="AC31" s="9"/>
      <c r="AD31" s="9"/>
      <c r="AE31" s="9"/>
      <c r="AF31" s="9"/>
      <c r="AG31" s="9"/>
      <c r="AH31" s="9"/>
      <c r="AI31" s="10"/>
      <c r="AJ31" s="10"/>
      <c r="AK31" s="10"/>
      <c r="AL31" s="9"/>
      <c r="AM31" s="9"/>
      <c r="AT31" s="8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</row>
    <row r="32" spans="1:73" x14ac:dyDescent="0.25">
      <c r="C32" s="5"/>
      <c r="V32" s="5"/>
      <c r="W32" s="5"/>
      <c r="X32" s="5"/>
      <c r="Y32" s="7"/>
      <c r="AB32" s="6" t="s">
        <v>0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</row>
    <row r="33" spans="1:73" s="4" customFormat="1" x14ac:dyDescent="0.25">
      <c r="A33" s="1"/>
      <c r="B33" s="1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Z33" s="1"/>
      <c r="AA33" s="1"/>
      <c r="AB33" s="1"/>
      <c r="AC33" s="1"/>
      <c r="AD33" s="1"/>
      <c r="AE33" s="1"/>
      <c r="AF33" s="1"/>
      <c r="AG33" s="1"/>
      <c r="AH33" s="1"/>
      <c r="AL33" s="1"/>
      <c r="AM33" s="1"/>
      <c r="AN33" s="1"/>
      <c r="AO33" s="1"/>
      <c r="AP33" s="1"/>
      <c r="AQ33" s="1"/>
      <c r="AR33" s="1"/>
      <c r="AS33" s="1"/>
      <c r="AT33" s="1"/>
      <c r="AU33" s="3"/>
      <c r="AV33" s="2"/>
      <c r="AW33" s="1"/>
      <c r="AX33" s="1"/>
      <c r="AY33" s="1"/>
      <c r="AZ33" s="1"/>
      <c r="BA33" s="1"/>
      <c r="BB33" s="1"/>
      <c r="BC33" s="1"/>
      <c r="BD33" s="1"/>
      <c r="BE33" s="1"/>
    </row>
    <row r="34" spans="1:73" s="4" customFormat="1" x14ac:dyDescent="0.25">
      <c r="A34" s="1"/>
      <c r="B34" s="1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Z34" s="1"/>
      <c r="AA34" s="1"/>
      <c r="AB34" s="1"/>
      <c r="AC34" s="1"/>
      <c r="AD34" s="1"/>
      <c r="AE34" s="1"/>
      <c r="AF34" s="1"/>
      <c r="AG34" s="1"/>
      <c r="AH34" s="1"/>
      <c r="AL34" s="1"/>
      <c r="AM34" s="1"/>
      <c r="AN34" s="1"/>
      <c r="AO34" s="1"/>
      <c r="AP34" s="1"/>
      <c r="AQ34" s="1"/>
      <c r="AR34" s="1"/>
      <c r="AS34" s="1"/>
      <c r="AT34" s="1"/>
      <c r="AU34" s="3"/>
      <c r="AV34" s="2"/>
      <c r="AW34" s="1"/>
      <c r="AX34" s="1"/>
      <c r="AY34" s="1"/>
      <c r="AZ34" s="1"/>
      <c r="BA34" s="1"/>
      <c r="BB34" s="1"/>
      <c r="BC34" s="1"/>
      <c r="BD34" s="1"/>
      <c r="BE34" s="1"/>
    </row>
    <row r="35" spans="1:73" s="4" customFormat="1" x14ac:dyDescent="0.25">
      <c r="A35" s="1"/>
      <c r="B35" s="1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Z35" s="1"/>
      <c r="AA35" s="1"/>
      <c r="AB35" s="1"/>
      <c r="AC35" s="1"/>
      <c r="AD35" s="1"/>
      <c r="AE35" s="1"/>
      <c r="AF35" s="1"/>
      <c r="AG35" s="1"/>
      <c r="AH35" s="1"/>
      <c r="AL35" s="1"/>
      <c r="AM35" s="1"/>
      <c r="AN35" s="1"/>
      <c r="AO35" s="1"/>
      <c r="AP35" s="1"/>
      <c r="AQ35" s="1"/>
      <c r="AR35" s="1"/>
      <c r="AS35" s="1"/>
      <c r="AT35" s="1"/>
      <c r="AU35" s="3"/>
      <c r="AV35" s="2"/>
      <c r="AW35" s="1"/>
      <c r="AX35" s="1"/>
      <c r="AY35" s="1"/>
      <c r="AZ35" s="1"/>
      <c r="BA35" s="1"/>
      <c r="BB35" s="1"/>
      <c r="BC35" s="1"/>
      <c r="BD35" s="1"/>
      <c r="BE35" s="1"/>
    </row>
    <row r="36" spans="1:73" s="4" customFormat="1" x14ac:dyDescent="0.25">
      <c r="A36" s="1"/>
      <c r="B36" s="1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Z36" s="1"/>
      <c r="AA36" s="1"/>
      <c r="AB36" s="1"/>
      <c r="AC36" s="1"/>
      <c r="AD36" s="1"/>
      <c r="AE36" s="1"/>
      <c r="AF36" s="1"/>
      <c r="AG36" s="1"/>
      <c r="AH36" s="1"/>
      <c r="AL36" s="1"/>
      <c r="AM36" s="1"/>
      <c r="AN36" s="1"/>
      <c r="AO36" s="1"/>
      <c r="AP36" s="1"/>
      <c r="AQ36" s="1"/>
      <c r="AR36" s="1"/>
      <c r="AS36" s="1"/>
      <c r="AT36" s="1"/>
      <c r="AU36" s="3"/>
      <c r="AV36" s="2"/>
      <c r="AW36" s="1"/>
      <c r="AX36" s="1"/>
      <c r="AY36" s="1"/>
      <c r="AZ36" s="1"/>
      <c r="BA36" s="1"/>
      <c r="BB36" s="1"/>
      <c r="BC36" s="1"/>
      <c r="BD36" s="1"/>
      <c r="BE36" s="1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1:73" s="4" customFormat="1" x14ac:dyDescent="0.25">
      <c r="A37" s="1"/>
      <c r="B37" s="1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Z37" s="1"/>
      <c r="AA37" s="1"/>
      <c r="AB37" s="1"/>
      <c r="AC37" s="1"/>
      <c r="AD37" s="1"/>
      <c r="AE37" s="1"/>
      <c r="AF37" s="1"/>
      <c r="AG37" s="1"/>
      <c r="AH37" s="1"/>
      <c r="AL37" s="1"/>
      <c r="AM37" s="1"/>
      <c r="AN37" s="1"/>
      <c r="AO37" s="1"/>
      <c r="AP37" s="1"/>
      <c r="AQ37" s="1"/>
      <c r="AR37" s="1"/>
      <c r="AS37" s="1"/>
      <c r="AT37" s="1"/>
      <c r="AU37" s="3"/>
      <c r="AV37" s="2"/>
      <c r="AW37" s="1"/>
      <c r="AX37" s="1"/>
      <c r="AY37" s="1"/>
      <c r="AZ37" s="1"/>
      <c r="BA37" s="1"/>
      <c r="BB37" s="1"/>
      <c r="BC37" s="1"/>
      <c r="BD37" s="1"/>
      <c r="BE37" s="1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1:73" s="4" customFormat="1" x14ac:dyDescent="0.25">
      <c r="A38" s="1"/>
      <c r="B38" s="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Z38" s="1"/>
      <c r="AA38" s="1"/>
      <c r="AB38" s="1"/>
      <c r="AC38" s="1"/>
      <c r="AD38" s="1"/>
      <c r="AE38" s="1"/>
      <c r="AF38" s="1"/>
      <c r="AG38" s="1"/>
      <c r="AH38" s="1"/>
      <c r="AL38" s="1"/>
      <c r="AM38" s="1"/>
      <c r="AN38" s="1"/>
      <c r="AO38" s="1"/>
      <c r="AP38" s="1"/>
      <c r="AQ38" s="1"/>
      <c r="AR38" s="1"/>
      <c r="AS38" s="1"/>
      <c r="AT38" s="1"/>
      <c r="AU38" s="3"/>
      <c r="AV38" s="2"/>
      <c r="AW38" s="1"/>
      <c r="AX38" s="1"/>
      <c r="AY38" s="1"/>
      <c r="AZ38" s="1"/>
      <c r="BA38" s="1"/>
      <c r="BB38" s="1"/>
      <c r="BC38" s="1"/>
      <c r="BD38" s="1"/>
      <c r="BE38" s="1"/>
      <c r="BI38"/>
      <c r="BJ38"/>
      <c r="BK38"/>
      <c r="BL38"/>
      <c r="BM38"/>
      <c r="BN38"/>
      <c r="BO38"/>
      <c r="BP38"/>
      <c r="BQ38"/>
      <c r="BR38"/>
      <c r="BS38"/>
      <c r="BT38"/>
      <c r="BU38"/>
    </row>
  </sheetData>
  <protectedRanges>
    <protectedRange sqref="AN2 L2 AK7 AC5 O8 E5 AN5 E7 AH5" name="Range1"/>
  </protectedRanges>
  <mergeCells count="219">
    <mergeCell ref="H1:AT1"/>
    <mergeCell ref="H2:K2"/>
    <mergeCell ref="L2:O2"/>
    <mergeCell ref="R2:AH3"/>
    <mergeCell ref="AI2:AM2"/>
    <mergeCell ref="AN2:AT2"/>
    <mergeCell ref="A5:D5"/>
    <mergeCell ref="E5:O5"/>
    <mergeCell ref="R5:U5"/>
    <mergeCell ref="X5:AA5"/>
    <mergeCell ref="AC5:AG5"/>
    <mergeCell ref="AI5:AM5"/>
    <mergeCell ref="AO5:AS5"/>
    <mergeCell ref="A7:D7"/>
    <mergeCell ref="E7:G7"/>
    <mergeCell ref="I7:K7"/>
    <mergeCell ref="L7:M7"/>
    <mergeCell ref="O7:Q7"/>
    <mergeCell ref="R7:S7"/>
    <mergeCell ref="V7:X7"/>
    <mergeCell ref="Y7:Z7"/>
    <mergeCell ref="AF7:AJ7"/>
    <mergeCell ref="AK7:AQ7"/>
    <mergeCell ref="AR7:AT7"/>
    <mergeCell ref="A9:E10"/>
    <mergeCell ref="F9:I10"/>
    <mergeCell ref="J9:M10"/>
    <mergeCell ref="N9:P10"/>
    <mergeCell ref="Q9:S10"/>
    <mergeCell ref="T9:V10"/>
    <mergeCell ref="W9:Y10"/>
    <mergeCell ref="Z9:AB10"/>
    <mergeCell ref="AC9:AE10"/>
    <mergeCell ref="AF9:AH10"/>
    <mergeCell ref="AI9:AK10"/>
    <mergeCell ref="AL9:AN10"/>
    <mergeCell ref="AO9:AQ10"/>
    <mergeCell ref="AR9:AT10"/>
    <mergeCell ref="AV9:AV10"/>
    <mergeCell ref="A11:E11"/>
    <mergeCell ref="F11:I11"/>
    <mergeCell ref="J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AR11:AT11"/>
    <mergeCell ref="A12:E12"/>
    <mergeCell ref="F12:I12"/>
    <mergeCell ref="J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AR12:AT12"/>
    <mergeCell ref="A13:E13"/>
    <mergeCell ref="F13:I13"/>
    <mergeCell ref="J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AR13:AT13"/>
    <mergeCell ref="A14:E14"/>
    <mergeCell ref="F14:I14"/>
    <mergeCell ref="J14:M14"/>
    <mergeCell ref="N14:P14"/>
    <mergeCell ref="Q14:S14"/>
    <mergeCell ref="T14:V14"/>
    <mergeCell ref="W14:Y14"/>
    <mergeCell ref="Z14:AB14"/>
    <mergeCell ref="AC14:AE14"/>
    <mergeCell ref="AF14:AH14"/>
    <mergeCell ref="AI14:AK14"/>
    <mergeCell ref="AL14:AN14"/>
    <mergeCell ref="AO14:AQ14"/>
    <mergeCell ref="AR14:AT14"/>
    <mergeCell ref="A15:E15"/>
    <mergeCell ref="F15:I15"/>
    <mergeCell ref="J15:M15"/>
    <mergeCell ref="N15:P15"/>
    <mergeCell ref="Q15:S15"/>
    <mergeCell ref="T15:V15"/>
    <mergeCell ref="W15:Y15"/>
    <mergeCell ref="Z15:AB15"/>
    <mergeCell ref="AC15:AE15"/>
    <mergeCell ref="AF15:AH15"/>
    <mergeCell ref="AI15:AK15"/>
    <mergeCell ref="AL15:AN15"/>
    <mergeCell ref="AO15:AQ15"/>
    <mergeCell ref="AR15:AT15"/>
    <mergeCell ref="A16:E16"/>
    <mergeCell ref="F16:I16"/>
    <mergeCell ref="J16:M16"/>
    <mergeCell ref="N16:P16"/>
    <mergeCell ref="Q16:S16"/>
    <mergeCell ref="T16:V16"/>
    <mergeCell ref="W16:Y16"/>
    <mergeCell ref="Z16:AB16"/>
    <mergeCell ref="AC16:AE16"/>
    <mergeCell ref="AF16:AH16"/>
    <mergeCell ref="AI16:AK16"/>
    <mergeCell ref="AL16:AN16"/>
    <mergeCell ref="AO16:AQ16"/>
    <mergeCell ref="AR16:AT16"/>
    <mergeCell ref="A17:E17"/>
    <mergeCell ref="F17:I17"/>
    <mergeCell ref="J17:M17"/>
    <mergeCell ref="N17:P17"/>
    <mergeCell ref="Q17:S17"/>
    <mergeCell ref="T17:V17"/>
    <mergeCell ref="W17:Y17"/>
    <mergeCell ref="Z17:AB17"/>
    <mergeCell ref="AC17:AE17"/>
    <mergeCell ref="AF17:AH17"/>
    <mergeCell ref="AI17:AK17"/>
    <mergeCell ref="AL17:AN17"/>
    <mergeCell ref="AO17:AQ17"/>
    <mergeCell ref="AR17:AT17"/>
    <mergeCell ref="E18:P18"/>
    <mergeCell ref="AI18:AK18"/>
    <mergeCell ref="AL18:AN18"/>
    <mergeCell ref="A20:E21"/>
    <mergeCell ref="F20:I21"/>
    <mergeCell ref="J20:M21"/>
    <mergeCell ref="N20:P21"/>
    <mergeCell ref="Q20:S21"/>
    <mergeCell ref="T20:V21"/>
    <mergeCell ref="W20:Y21"/>
    <mergeCell ref="Z20:AB21"/>
    <mergeCell ref="AC20:AE21"/>
    <mergeCell ref="AF20:AH21"/>
    <mergeCell ref="AI20:AK21"/>
    <mergeCell ref="AL20:AN21"/>
    <mergeCell ref="AO20:AQ21"/>
    <mergeCell ref="AR20:AT21"/>
    <mergeCell ref="AV20:AV21"/>
    <mergeCell ref="AX20:AY21"/>
    <mergeCell ref="A22:E22"/>
    <mergeCell ref="F22:I22"/>
    <mergeCell ref="J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N22"/>
    <mergeCell ref="AO22:AQ22"/>
    <mergeCell ref="AR22:AT22"/>
    <mergeCell ref="A23:E23"/>
    <mergeCell ref="F23:I23"/>
    <mergeCell ref="J23:M23"/>
    <mergeCell ref="N23:P23"/>
    <mergeCell ref="Q23:S23"/>
    <mergeCell ref="T23:V23"/>
    <mergeCell ref="W23:Y23"/>
    <mergeCell ref="Z23:AB23"/>
    <mergeCell ref="AC23:AE23"/>
    <mergeCell ref="AL23:AN23"/>
    <mergeCell ref="AO23:AQ23"/>
    <mergeCell ref="AR23:AT23"/>
    <mergeCell ref="A24:E24"/>
    <mergeCell ref="F24:I24"/>
    <mergeCell ref="J24:M24"/>
    <mergeCell ref="N24:P24"/>
    <mergeCell ref="Q24:S24"/>
    <mergeCell ref="Z24:AB24"/>
    <mergeCell ref="AC24:AE24"/>
    <mergeCell ref="AF24:AH24"/>
    <mergeCell ref="AI24:AK24"/>
    <mergeCell ref="AF23:AH23"/>
    <mergeCell ref="AI23:AK23"/>
    <mergeCell ref="AR24:AT24"/>
    <mergeCell ref="A25:E25"/>
    <mergeCell ref="F25:I25"/>
    <mergeCell ref="J25:M25"/>
    <mergeCell ref="N25:P25"/>
    <mergeCell ref="Q25:S25"/>
    <mergeCell ref="T25:V25"/>
    <mergeCell ref="W25:Y25"/>
    <mergeCell ref="T24:V24"/>
    <mergeCell ref="W24:Y24"/>
    <mergeCell ref="AF25:AH25"/>
    <mergeCell ref="AI25:AK25"/>
    <mergeCell ref="AL25:AN25"/>
    <mergeCell ref="AO25:AQ25"/>
    <mergeCell ref="AL24:AN24"/>
    <mergeCell ref="AO24:AQ24"/>
    <mergeCell ref="D31:U31"/>
    <mergeCell ref="AB32:AN32"/>
    <mergeCell ref="AR25:AT25"/>
    <mergeCell ref="BN22:BU22"/>
    <mergeCell ref="B26:V26"/>
    <mergeCell ref="AI26:AK26"/>
    <mergeCell ref="AL26:AN26"/>
    <mergeCell ref="A30:AN30"/>
    <mergeCell ref="Z25:AB25"/>
    <mergeCell ref="AC25:AE25"/>
  </mergeCells>
  <pageMargins left="0.25" right="0.25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19-AUG-26-DEP 1800H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PC</dc:creator>
  <cp:lastModifiedBy>CHENG PC</cp:lastModifiedBy>
  <dcterms:created xsi:type="dcterms:W3CDTF">2026-08-19T17:30:09Z</dcterms:created>
  <dcterms:modified xsi:type="dcterms:W3CDTF">2026-08-19T17:33:34Z</dcterms:modified>
</cp:coreProperties>
</file>